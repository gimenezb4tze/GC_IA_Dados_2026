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.excel01" sheetId="1" r:id="rId5"/>
    <sheet state="visible" name="Ex.excel02" sheetId="2" r:id="rId6"/>
    <sheet state="visible" name="Ex.excel03" sheetId="3" r:id="rId7"/>
    <sheet state="visible" name="Ex.excel04" sheetId="4" r:id="rId8"/>
    <sheet state="visible" name="Panilha_tratada" sheetId="5" r:id="rId9"/>
    <sheet state="visible" name="Original_SemLimpeza" sheetId="6" r:id="rId10"/>
    <sheet state="visible" name="Gráfico" sheetId="7" r:id="rId11"/>
    <sheet state="visible" name="Relatório" sheetId="8" r:id="rId12"/>
    <sheet state="visible" name="Fórmulas" sheetId="9" r:id="rId13"/>
  </sheets>
  <definedNames>
    <definedName hidden="1" localSheetId="0" name="_xlnm._FilterDatabase">Ex.excel01!$A$2:$E$6</definedName>
    <definedName hidden="1" localSheetId="1" name="_xlnm._FilterDatabase">Ex.excel02!$A$2:$D$8</definedName>
    <definedName hidden="1" localSheetId="2" name="_xlnm._FilterDatabase">Ex.excel03!$A$2:$G$7</definedName>
    <definedName hidden="1" localSheetId="3" name="_xlnm._FilterDatabase">Ex.excel04!$A$2:$F$7</definedName>
    <definedName hidden="1" localSheetId="4" name="_xlnm._FilterDatabase">Panilha_tratada!$A$1:$Q$402</definedName>
  </definedNames>
  <calcPr/>
</workbook>
</file>

<file path=xl/sharedStrings.xml><?xml version="1.0" encoding="utf-8"?>
<sst xmlns="http://schemas.openxmlformats.org/spreadsheetml/2006/main" count="5114" uniqueCount="1182">
  <si>
    <t>Notas Escolares</t>
  </si>
  <si>
    <t>Falidos e Quebrados LTDA.</t>
  </si>
  <si>
    <t>Recrutamento para vaga do emprego</t>
  </si>
  <si>
    <t>Tabela de Produtos da Cafeteria</t>
  </si>
  <si>
    <t>id_Produto</t>
  </si>
  <si>
    <t>Funcionário</t>
  </si>
  <si>
    <t>Tipo_de_Cafe</t>
  </si>
  <si>
    <t>Tamanho</t>
  </si>
  <si>
    <t>Valor_unitário</t>
  </si>
  <si>
    <t>Produtos</t>
  </si>
  <si>
    <t>Quantidade</t>
  </si>
  <si>
    <t>Vendas</t>
  </si>
  <si>
    <t>Resultado</t>
  </si>
  <si>
    <t>Abrilina</t>
  </si>
  <si>
    <t>Mouse</t>
  </si>
  <si>
    <t>RA</t>
  </si>
  <si>
    <t>Nome de aluno</t>
  </si>
  <si>
    <t>Nota 1 Trimestre</t>
  </si>
  <si>
    <t>Nota 2 Trimestre</t>
  </si>
  <si>
    <t xml:space="preserve">Nota 3 Trimeste </t>
  </si>
  <si>
    <t>Média Final</t>
  </si>
  <si>
    <t>Astro</t>
  </si>
  <si>
    <t>Nome</t>
  </si>
  <si>
    <t>Ara</t>
  </si>
  <si>
    <t>G</t>
  </si>
  <si>
    <t>Idade</t>
  </si>
  <si>
    <t>Ensino médio</t>
  </si>
  <si>
    <t>Curso Técnico</t>
  </si>
  <si>
    <t>Anos de experiência na área</t>
  </si>
  <si>
    <t>Situação</t>
  </si>
  <si>
    <t>Alfa Romeu Julia</t>
  </si>
  <si>
    <t>Não</t>
  </si>
  <si>
    <t>Sim</t>
  </si>
  <si>
    <t>Cheropita</t>
  </si>
  <si>
    <t>Lib</t>
  </si>
  <si>
    <t>M</t>
  </si>
  <si>
    <t>Robusto</t>
  </si>
  <si>
    <t>P</t>
  </si>
  <si>
    <t>Teclado</t>
  </si>
  <si>
    <t>Fusclaudia de Oliveira</t>
  </si>
  <si>
    <t>Celeste</t>
  </si>
  <si>
    <t>Elvira</t>
  </si>
  <si>
    <t>Unotavio dos Santos</t>
  </si>
  <si>
    <t>Aldegunda</t>
  </si>
  <si>
    <t>Monitor</t>
  </si>
  <si>
    <t>Homer</t>
  </si>
  <si>
    <t>Nissan Silvia</t>
  </si>
  <si>
    <t>Arquibaldo</t>
  </si>
  <si>
    <t>Gabinete</t>
  </si>
  <si>
    <t>Chevrolet da Silva</t>
  </si>
  <si>
    <t>Clarisbadeu</t>
  </si>
  <si>
    <t>Disquete</t>
  </si>
  <si>
    <t>Ferrari Enzo</t>
  </si>
  <si>
    <t>Fredolino</t>
  </si>
  <si>
    <t>Impressora</t>
  </si>
  <si>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</si>
  <si>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</si>
  <si>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</si>
  <si>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</si>
  <si>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</si>
  <si>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</si>
  <si>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</si>
  <si>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</si>
  <si>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</si>
  <si>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</si>
  <si>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</si>
  <si>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</si>
  <si>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análise_risco</t>
  </si>
  <si>
    <t>análise_risco2</t>
  </si>
  <si>
    <t>valor_solicitado</t>
  </si>
  <si>
    <t>liberação_de_crédito</t>
  </si>
  <si>
    <t>Ativo</t>
  </si>
  <si>
    <t>Ellaria Baelish</t>
  </si>
  <si>
    <t>000.000.336-00</t>
  </si>
  <si>
    <t>Ninho da Águia</t>
  </si>
  <si>
    <t>Vale</t>
  </si>
  <si>
    <t>Inativo</t>
  </si>
  <si>
    <t>Stannis Lannister</t>
  </si>
  <si>
    <t>Ponta Tempestade</t>
  </si>
  <si>
    <t>Terras Da Tempestade</t>
  </si>
  <si>
    <t>Asha Hornwood</t>
  </si>
  <si>
    <t>000.000.363-00</t>
  </si>
  <si>
    <t>Pedra do Dragão</t>
  </si>
  <si>
    <t>Terras Da Coroa</t>
  </si>
  <si>
    <t>-</t>
  </si>
  <si>
    <t>Jorah Dondarrion</t>
  </si>
  <si>
    <t>000.000.210-00</t>
  </si>
  <si>
    <t xml:space="preserve">Pyke  </t>
  </si>
  <si>
    <t>Ilhas De Ferro</t>
  </si>
  <si>
    <t>Jojen Florent</t>
  </si>
  <si>
    <t>000.000.321-00</t>
  </si>
  <si>
    <t>Olenna Baelish</t>
  </si>
  <si>
    <t>000.000.191-00</t>
  </si>
  <si>
    <t>Lannisporto</t>
  </si>
  <si>
    <t>Oeste</t>
  </si>
  <si>
    <t>Brienne Manderly</t>
  </si>
  <si>
    <t>000.000.076-00</t>
  </si>
  <si>
    <t>13/01/1994</t>
  </si>
  <si>
    <t>Yara Targaryen</t>
  </si>
  <si>
    <t>000.000.059-00</t>
  </si>
  <si>
    <t>Pyke</t>
  </si>
  <si>
    <t>26/02/2002</t>
  </si>
  <si>
    <t>Terras da Tempestade</t>
  </si>
  <si>
    <t>Coluna analisada</t>
  </si>
  <si>
    <t>11000 moedas</t>
  </si>
  <si>
    <t>Margaery Tarly</t>
  </si>
  <si>
    <t>000.000.274-00</t>
  </si>
  <si>
    <t>Terras da Coroa</t>
  </si>
  <si>
    <t>21500 moedas</t>
  </si>
  <si>
    <t>N/A</t>
  </si>
  <si>
    <t>não</t>
  </si>
  <si>
    <t>Problema encontrado</t>
  </si>
  <si>
    <t>Viserys Seaworth</t>
  </si>
  <si>
    <t>000.000.024-00</t>
  </si>
  <si>
    <t>Pyke | Ilhas de Ferro</t>
  </si>
  <si>
    <t>Meereen</t>
  </si>
  <si>
    <t>Exemplo encontrado</t>
  </si>
  <si>
    <t>Essos</t>
  </si>
  <si>
    <t>10400 moedas</t>
  </si>
  <si>
    <t>Tipo do problema</t>
  </si>
  <si>
    <t>Ação realizada</t>
  </si>
  <si>
    <t>Resultado esperado</t>
  </si>
  <si>
    <t>Decisão</t>
  </si>
  <si>
    <t>vale</t>
  </si>
  <si>
    <t>R$ 30.000,00</t>
  </si>
  <si>
    <t>Tormund  Cerwyn</t>
  </si>
  <si>
    <t>000.000.039-00</t>
  </si>
  <si>
    <t>Categorias escritas de formas diferentes e valores inconsistentes</t>
  </si>
  <si>
    <t>3500 moedas</t>
  </si>
  <si>
    <t>ATIVO, ativo, Ativoo, loqueado</t>
  </si>
  <si>
    <t>Padronização / Qualidade</t>
  </si>
  <si>
    <t>ATIVO</t>
  </si>
  <si>
    <t>Padronização das categorias para Ativo e Inativo</t>
  </si>
  <si>
    <t>Uma única categoria válida para cada status</t>
  </si>
  <si>
    <t>Corrigido</t>
  </si>
  <si>
    <t>Catelyn Westerling</t>
  </si>
  <si>
    <t>Braavos</t>
  </si>
  <si>
    <t>Nomes com diferenças de maiúsculas e minúsculas e registros sem nome</t>
  </si>
  <si>
    <t>yara targaryen / BRONN ARRYN / célula vazia</t>
  </si>
  <si>
    <t>Aplicado padrão de capitalização aos nomes; valores vazios foram mantidos</t>
  </si>
  <si>
    <t>Uma padronização nos nomes e manutenção dos valores que não podem ser recuperados</t>
  </si>
  <si>
    <t>8600 moedas</t>
  </si>
  <si>
    <t>Valores numéricos sem a formatação padrão de CPF</t>
  </si>
  <si>
    <t>R$ 19.000,00</t>
  </si>
  <si>
    <t>3300 / 36100</t>
  </si>
  <si>
    <t>Formatação</t>
  </si>
  <si>
    <t>Aplicada formatação personalizada 000"."000"."000"-"00</t>
  </si>
  <si>
    <t>Valores exibidos no formato 000.000.000-00</t>
  </si>
  <si>
    <t>Robb Baratheon</t>
  </si>
  <si>
    <t>000.000.365-00</t>
  </si>
  <si>
    <t>yara targaryen</t>
  </si>
  <si>
    <t>Valores ausentes ou inconsistentes com a data de nascimento</t>
  </si>
  <si>
    <t>32 → 33 / células vazias</t>
  </si>
  <si>
    <t>Qualidade</t>
  </si>
  <si>
    <t>Recalculada a idade a partir da data de nascimento</t>
  </si>
  <si>
    <t>18200 moedas</t>
  </si>
  <si>
    <t>Idade consistente com a data de nascimento</t>
  </si>
  <si>
    <t>31000 moedas</t>
  </si>
  <si>
    <t>Datas em formatos diferentes e valores armazenados como número</t>
  </si>
  <si>
    <t>13/01/1994 / 34144</t>
  </si>
  <si>
    <t>Formatação / Tipo</t>
  </si>
  <si>
    <t>Conversão dos valores para o formato de data</t>
  </si>
  <si>
    <t>Valores reconhecidos como datas e apresentados no mesmo formato</t>
  </si>
  <si>
    <t>Asha Tallhart</t>
  </si>
  <si>
    <t>Existem valores vazios que não podem ser recuperados</t>
  </si>
  <si>
    <t>Pyke / célula vazia</t>
  </si>
  <si>
    <t>21/01/1992</t>
  </si>
  <si>
    <t>Valores disponíveis foram mantidos e células vazias sem informação foram deixadas vazias</t>
  </si>
  <si>
    <t>ilhas de ferro</t>
  </si>
  <si>
    <t>Cidade preenchida quando existe informação disponível</t>
  </si>
  <si>
    <t>Registrado</t>
  </si>
  <si>
    <t>Regiões com diferenças de escrita ou informações ausentes</t>
  </si>
  <si>
    <t>vale / célula vazia</t>
  </si>
  <si>
    <t>Qualidade / Padronização</t>
  </si>
  <si>
    <t>Padronização dos valores e preenchimento quando a informação permitia</t>
  </si>
  <si>
    <t>17/10/1964</t>
  </si>
  <si>
    <t>Uma região padronizada para cada registro quando possível</t>
  </si>
  <si>
    <t>Missandei Tarly</t>
  </si>
  <si>
    <t>23000 moedas</t>
  </si>
  <si>
    <t>Valores misturados entre números, moedas e textos</t>
  </si>
  <si>
    <t>R$ 8.900,00 / 11000 moedas</t>
  </si>
  <si>
    <t>Qualidade / Tipo</t>
  </si>
  <si>
    <t>Removidos textos e símbolos desnecessários e valores convertidos para número</t>
  </si>
  <si>
    <t>Valores numéricos consistentes na coluna</t>
  </si>
  <si>
    <t>Mistura de números, valores monetários e células com N/A</t>
  </si>
  <si>
    <t>3500 moedas / R$ 19.000,00 / N/A</t>
  </si>
  <si>
    <t>Qualidade / Negócio</t>
  </si>
  <si>
    <t>Valores monetários convertidos para número e diferenças de ausência preservadas</t>
  </si>
  <si>
    <t>Valores numéricos sem perder o significado de ausência</t>
  </si>
  <si>
    <t>Jeor Mallister</t>
  </si>
  <si>
    <t>000.000.162-00</t>
  </si>
  <si>
    <t>Categorias equivalentes escritas de formas diferentes</t>
  </si>
  <si>
    <t>catelyn westerling</t>
  </si>
  <si>
    <t>Correrrio</t>
  </si>
  <si>
    <t>19500 moedas</t>
  </si>
  <si>
    <t>Terras Fluviais</t>
  </si>
  <si>
    <t>SIM, sim, NÃO, não, Nao, 0, 1</t>
  </si>
  <si>
    <t>Padronização</t>
  </si>
  <si>
    <t>Conversão dos valores para as categorias Sim e Não</t>
  </si>
  <si>
    <t>Somente categorias padronizadas Sim ou Não</t>
  </si>
  <si>
    <t>24/03/1972</t>
  </si>
  <si>
    <t>Eddard Crakehall</t>
  </si>
  <si>
    <t>Texto junto ao valor numérico</t>
  </si>
  <si>
    <t>Castelo Negro</t>
  </si>
  <si>
    <t>44 batalhas</t>
  </si>
  <si>
    <t>Norte</t>
  </si>
  <si>
    <t>Removido o texto e convertido o valor para número</t>
  </si>
  <si>
    <t>Quantidade numérica pronta para análise</t>
  </si>
  <si>
    <t>Coluna sem preenchimento na base original</t>
  </si>
  <si>
    <t>vazio</t>
  </si>
  <si>
    <t>Ilhas de Ferro</t>
  </si>
  <si>
    <t>Regra de negócio</t>
  </si>
  <si>
    <t>17600 moedas</t>
  </si>
  <si>
    <t>Podrick Swyft</t>
  </si>
  <si>
    <t>Calculado a partir da quantidade de batalhas conforme a regra definida</t>
  </si>
  <si>
    <t>000.000.090-00</t>
  </si>
  <si>
    <t>Nível de risco preenchido de acordo com a regra de negócio</t>
  </si>
  <si>
    <t>Calculado</t>
  </si>
  <si>
    <t>TERRAS DA TEMPESTADE</t>
  </si>
  <si>
    <t>Podrick Dayne</t>
  </si>
  <si>
    <t>Valor apresentado incorretamente na base tratada</t>
  </si>
  <si>
    <t>Vilavelha</t>
  </si>
  <si>
    <t>Campina</t>
  </si>
  <si>
    <t>43.500 → 63.500</t>
  </si>
  <si>
    <t>Qualidade / Auditoria</t>
  </si>
  <si>
    <t>Valor corrigido de acordo com a verificação realizada</t>
  </si>
  <si>
    <t>Valor solicitado correto e consistente com a base</t>
  </si>
  <si>
    <t>5500 moedas</t>
  </si>
  <si>
    <t>Ellaria Seaworth</t>
  </si>
  <si>
    <t>000.000.125-00</t>
  </si>
  <si>
    <t>TERRAS FLUVIAIS</t>
  </si>
  <si>
    <t>R$ 48.000,00</t>
  </si>
  <si>
    <t>Melisandre Clegane</t>
  </si>
  <si>
    <t>000.000.231-00</t>
  </si>
  <si>
    <t>Ilha dos Ursos</t>
  </si>
  <si>
    <t>26/11/1972</t>
  </si>
  <si>
    <t>NORTE</t>
  </si>
  <si>
    <t>R$ 4.000,00</t>
  </si>
  <si>
    <t>Robert Karstark</t>
  </si>
  <si>
    <t>000.000.184-00</t>
  </si>
  <si>
    <t>rhaegar stark</t>
  </si>
  <si>
    <t>000.000.119-00</t>
  </si>
  <si>
    <t>23/04/1993</t>
  </si>
  <si>
    <t>Rhaegar Stark</t>
  </si>
  <si>
    <t>Loras Greyjoy</t>
  </si>
  <si>
    <t>000.000.362-00</t>
  </si>
  <si>
    <t>Fosso Cailin</t>
  </si>
  <si>
    <t>Jorah Hightower</t>
  </si>
  <si>
    <t>000.000.346-00</t>
  </si>
  <si>
    <t>TERRAS DA COROA</t>
  </si>
  <si>
    <t>1 batalhas</t>
  </si>
  <si>
    <t>Loras Clegane</t>
  </si>
  <si>
    <t>000.000.287-00</t>
  </si>
  <si>
    <t>Harrenhal</t>
  </si>
  <si>
    <t>R$ 25.400,00</t>
  </si>
  <si>
    <t>Winterfell</t>
  </si>
  <si>
    <t>samwell yronwood</t>
  </si>
  <si>
    <t>000.000.124-00</t>
  </si>
  <si>
    <t>Jardim de Cima</t>
  </si>
  <si>
    <t>Ativoo</t>
  </si>
  <si>
    <t>Catelyn Yronwood</t>
  </si>
  <si>
    <t>000.000.226-00</t>
  </si>
  <si>
    <t>norte</t>
  </si>
  <si>
    <t>Brienne Reed</t>
  </si>
  <si>
    <t>000.000.306-00</t>
  </si>
  <si>
    <t>Rhaegar Umber</t>
  </si>
  <si>
    <t>000.000.247-00</t>
  </si>
  <si>
    <t>18/05/2007</t>
  </si>
  <si>
    <t>sim</t>
  </si>
  <si>
    <t>Roose Manderly</t>
  </si>
  <si>
    <t>Dorne</t>
  </si>
  <si>
    <t>sem renda</t>
  </si>
  <si>
    <t>Jeor Florent</t>
  </si>
  <si>
    <t>000.000.249-00</t>
  </si>
  <si>
    <t>terras da tempestade</t>
  </si>
  <si>
    <t>Bran Yronwood</t>
  </si>
  <si>
    <t>000.000.057-00</t>
  </si>
  <si>
    <t>Nao</t>
  </si>
  <si>
    <t>BRONN ARRYN</t>
  </si>
  <si>
    <t>000.000.016-00</t>
  </si>
  <si>
    <t>oeste</t>
  </si>
  <si>
    <t>Shae Clegane</t>
  </si>
  <si>
    <t>000.000.205-00</t>
  </si>
  <si>
    <t>Ramsay Hornwood</t>
  </si>
  <si>
    <t>000.000.005-00</t>
  </si>
  <si>
    <t>Samwell Yronwood</t>
  </si>
  <si>
    <t>16/11/1960</t>
  </si>
  <si>
    <t>23400 moedas</t>
  </si>
  <si>
    <t>MEERA PAYNE</t>
  </si>
  <si>
    <t>000.000.131-00</t>
  </si>
  <si>
    <t>DORNE</t>
  </si>
  <si>
    <t>R$ 14.700,00</t>
  </si>
  <si>
    <t>MELISANDRE BARATHEON</t>
  </si>
  <si>
    <t>000.000.364-00</t>
  </si>
  <si>
    <t>27 batalhas</t>
  </si>
  <si>
    <t>Podrick Targaryen</t>
  </si>
  <si>
    <t>000.000.050-00</t>
  </si>
  <si>
    <t>29900 moedas</t>
  </si>
  <si>
    <t>Margaery Manderly</t>
  </si>
  <si>
    <t>000.000.222-00</t>
  </si>
  <si>
    <t>Daenerys Seaworth</t>
  </si>
  <si>
    <t>000.000.341-00</t>
  </si>
  <si>
    <t>CAMPINA</t>
  </si>
  <si>
    <t>000.000.140-00</t>
  </si>
  <si>
    <t>Fosso Cailin | Norte</t>
  </si>
  <si>
    <t>Jorah Redwyne</t>
  </si>
  <si>
    <t>Monte Chifre</t>
  </si>
  <si>
    <t>campina</t>
  </si>
  <si>
    <t>R$ 2.600,00</t>
  </si>
  <si>
    <t>Margaery  Hornwood</t>
  </si>
  <si>
    <t>22/08/2001</t>
  </si>
  <si>
    <t>Arya Redwyne</t>
  </si>
  <si>
    <t>000.000.333-00</t>
  </si>
  <si>
    <t>3800 moedas</t>
  </si>
  <si>
    <t>VARYS BRACKEN</t>
  </si>
  <si>
    <t>000.000.215-00</t>
  </si>
  <si>
    <t>Porto Real</t>
  </si>
  <si>
    <t>2000 moedas</t>
  </si>
  <si>
    <t>Brienne Royce</t>
  </si>
  <si>
    <t>20/12/1986</t>
  </si>
  <si>
    <t>23500 moedas</t>
  </si>
  <si>
    <t>Rickon Redwyne</t>
  </si>
  <si>
    <t>Tormund Karstark</t>
  </si>
  <si>
    <t>000.000.284-00</t>
  </si>
  <si>
    <t>Bran Dayne</t>
  </si>
  <si>
    <t>000.000.288-00</t>
  </si>
  <si>
    <t>4500 moedas</t>
  </si>
  <si>
    <t>000.000.294-00</t>
  </si>
  <si>
    <t>Bronn Arryn</t>
  </si>
  <si>
    <t>Aegon Frey</t>
  </si>
  <si>
    <t>000.000.338-00</t>
  </si>
  <si>
    <t>18/11/1969</t>
  </si>
  <si>
    <t>11100 moedas</t>
  </si>
  <si>
    <t>Daenerys Snow</t>
  </si>
  <si>
    <t>Dorne | Dorne</t>
  </si>
  <si>
    <t>Asha Baratheon</t>
  </si>
  <si>
    <t>000.000.195-00</t>
  </si>
  <si>
    <t>25/04/1956</t>
  </si>
  <si>
    <t>Rickon Crakehall</t>
  </si>
  <si>
    <t>000.000.066-00</t>
  </si>
  <si>
    <t/>
  </si>
  <si>
    <t>Meera Payne</t>
  </si>
  <si>
    <t>Atalaia da Água Cinzenta</t>
  </si>
  <si>
    <t>gargalo</t>
  </si>
  <si>
    <t>NÃO</t>
  </si>
  <si>
    <t>Eddard Mallister</t>
  </si>
  <si>
    <t>000.000.309-00</t>
  </si>
  <si>
    <t>Melisandre Baratheon</t>
  </si>
  <si>
    <t>GARGALO</t>
  </si>
  <si>
    <t>Daario Clegane</t>
  </si>
  <si>
    <t>000.000.270-00</t>
  </si>
  <si>
    <t>38 batalhas</t>
  </si>
  <si>
    <t>Ellaria Mallister</t>
  </si>
  <si>
    <t>000.000.194-00</t>
  </si>
  <si>
    <t>21/11/1987</t>
  </si>
  <si>
    <t>Stannis  Cerwyn</t>
  </si>
  <si>
    <t>27/11/1990</t>
  </si>
  <si>
    <t>ELLARIA TARLY</t>
  </si>
  <si>
    <t>000.000.026-00</t>
  </si>
  <si>
    <t>ESSOS</t>
  </si>
  <si>
    <t>R$ 3.200,00</t>
  </si>
  <si>
    <t xml:space="preserve">Fosso Cailin  </t>
  </si>
  <si>
    <t>ativo</t>
  </si>
  <si>
    <t>Daario Tyrell</t>
  </si>
  <si>
    <t>000.000.251-00</t>
  </si>
  <si>
    <t>14/12/1974</t>
  </si>
  <si>
    <t>Daario Marbrand</t>
  </si>
  <si>
    <t>000.000.014-00</t>
  </si>
  <si>
    <t>46 anos</t>
  </si>
  <si>
    <t>15/09/1979</t>
  </si>
  <si>
    <t>Thoros Tarth</t>
  </si>
  <si>
    <t>ILHAS DE FERRO</t>
  </si>
  <si>
    <t>R$ 13.200,00</t>
  </si>
  <si>
    <t>Arya Marbrand</t>
  </si>
  <si>
    <t>000.000.133-00</t>
  </si>
  <si>
    <t>R$ 25.000,00</t>
  </si>
  <si>
    <t>Davos Tyrell</t>
  </si>
  <si>
    <t>28 batalhas</t>
  </si>
  <si>
    <t>Lyanna Florent</t>
  </si>
  <si>
    <t>Varys Bracken</t>
  </si>
  <si>
    <t>Varys Bolton</t>
  </si>
  <si>
    <t>22/05/1970</t>
  </si>
  <si>
    <t>Shae Seaworth</t>
  </si>
  <si>
    <t>000.000.030-00</t>
  </si>
  <si>
    <t>27/02/1993</t>
  </si>
  <si>
    <t>essos</t>
  </si>
  <si>
    <t>Qual a porcentagem negada de liberação de crédito entre os inadimplentes?</t>
  </si>
  <si>
    <t>Jojen Reed</t>
  </si>
  <si>
    <t>000.000.136-00</t>
  </si>
  <si>
    <t>19/09/1984</t>
  </si>
  <si>
    <t>20000 moedas</t>
  </si>
  <si>
    <t>Podrick Blackwood</t>
  </si>
  <si>
    <t>000.000.135-00</t>
  </si>
  <si>
    <t>18/03/1994</t>
  </si>
  <si>
    <t>Renly Mallister</t>
  </si>
  <si>
    <t>000.000.372-00</t>
  </si>
  <si>
    <t>Cersei Clegane</t>
  </si>
  <si>
    <t>000.000.323-00</t>
  </si>
  <si>
    <t>inadimplentes</t>
  </si>
  <si>
    <t>créditos_negados</t>
  </si>
  <si>
    <t>BERIC CRAKEHALL</t>
  </si>
  <si>
    <t>000.000.067-00</t>
  </si>
  <si>
    <t>percentual_negado</t>
  </si>
  <si>
    <t>percentual_aprovado</t>
  </si>
  <si>
    <t>Renda maior que 20 mil</t>
  </si>
  <si>
    <t>Ellaria Bracken</t>
  </si>
  <si>
    <t>000.000.138-00</t>
  </si>
  <si>
    <t>Ellaria  Reed</t>
  </si>
  <si>
    <t>000.000.311-00</t>
  </si>
  <si>
    <t>17/02/1956</t>
  </si>
  <si>
    <t>Daenerys Tallhart</t>
  </si>
  <si>
    <t>000.000.092-00</t>
  </si>
  <si>
    <t>R$ 45.000,00</t>
  </si>
  <si>
    <t>Lyanna Marbrand</t>
  </si>
  <si>
    <t>000.000.283-00</t>
  </si>
  <si>
    <t>22000 moedas</t>
  </si>
  <si>
    <t>Ramsay Dondarrion</t>
  </si>
  <si>
    <t>000.000.054-00</t>
  </si>
  <si>
    <t>dorne</t>
  </si>
  <si>
    <t>Thoros  Baelish</t>
  </si>
  <si>
    <t>000.000.011-00</t>
  </si>
  <si>
    <t>28/05/1973</t>
  </si>
  <si>
    <t>R$ 52.000,00</t>
  </si>
  <si>
    <t>Melisandre Blackwood</t>
  </si>
  <si>
    <t>Dorne  Dorne</t>
  </si>
  <si>
    <t>000.000.051-00</t>
  </si>
  <si>
    <t>R$ 18.700,00</t>
  </si>
  <si>
    <t>Yara Baelish</t>
  </si>
  <si>
    <t>Solar do Entardecer</t>
  </si>
  <si>
    <t>Cersei Stark</t>
  </si>
  <si>
    <t>000.000.293-00</t>
  </si>
  <si>
    <t>19/07/2001</t>
  </si>
  <si>
    <t>Jon  Karstark</t>
  </si>
  <si>
    <t>000.000.139-00</t>
  </si>
  <si>
    <t>55 anos</t>
  </si>
  <si>
    <t>16/08/1971</t>
  </si>
  <si>
    <t>70500 moedas</t>
  </si>
  <si>
    <t>Gargalo</t>
  </si>
  <si>
    <t>Yara Royce</t>
  </si>
  <si>
    <t>Jeor Lannister</t>
  </si>
  <si>
    <t>000.000.091-00</t>
  </si>
  <si>
    <t>R$ 23.000,00</t>
  </si>
  <si>
    <t>10 batalhas</t>
  </si>
  <si>
    <t>bran florent</t>
  </si>
  <si>
    <t>000.000.218-00</t>
  </si>
  <si>
    <t>Jojen Redwyne</t>
  </si>
  <si>
    <t>000.000.334-00</t>
  </si>
  <si>
    <t>24 anos</t>
  </si>
  <si>
    <t>R$ 8.900,00</t>
  </si>
  <si>
    <t>Renda entre 10 e 20 mil</t>
  </si>
  <si>
    <t>Bronn Mallister</t>
  </si>
  <si>
    <t>000.000.200-00</t>
  </si>
  <si>
    <t>76500 moedas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</si>
  <si>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</si>
  <si>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</si>
  <si>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</si>
  <si>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</si>
  <si>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</si>
  <si>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</si>
  <si>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</si>
  <si>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</si>
  <si>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</si>
  <si>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16/12/1983</t>
  </si>
  <si>
    <t>terras da coroa</t>
  </si>
  <si>
    <t>R$ 55.000,00</t>
  </si>
  <si>
    <t>Catelyn Cerwyn</t>
  </si>
  <si>
    <t>000.000.308-00</t>
  </si>
  <si>
    <t>Formulas(nao todas)</t>
  </si>
  <si>
    <t>Ellaria Tarly</t>
  </si>
  <si>
    <t>Margaery Dayne</t>
  </si>
  <si>
    <t>000.000.276-00</t>
  </si>
  <si>
    <t>Rickon Karstark</t>
  </si>
  <si>
    <t>000.000.088-00</t>
  </si>
  <si>
    <t>/=PROPER()</t>
  </si>
  <si>
    <t>Jorah Seaworth</t>
  </si>
  <si>
    <t>Renda menor que 10 mil</t>
  </si>
  <si>
    <t>/=2026-YEAR(F2)</t>
  </si>
  <si>
    <t>23/08/1960</t>
  </si>
  <si>
    <t>/=IF(I2 = "";"N/A"; I2)</t>
  </si>
  <si>
    <t>28800 moedas</t>
  </si>
  <si>
    <t>/=VALUE(H2)</t>
  </si>
  <si>
    <t>Stannis Redwyne</t>
  </si>
  <si>
    <t>000.000.216-00</t>
  </si>
  <si>
    <t>/=IFS(J2 = "";"N/A";J2 = "0";"Não"; J2= "1"; "Sim"; J2="Sim"; J2; J2="Não"; J2)</t>
  </si>
  <si>
    <t>Jardim de Cima | Campina</t>
  </si>
  <si>
    <t xml:space="preserve">/=IFS(AND(M2="Negado"; N2="Negativa"); "0"; AND(M2="Aceito"; N2="Positiva"; A2="Inativo"); "00";AND(M2="Aceito"; N2="Positiva"; A2="Ativo"); "1";)
</t>
  </si>
  <si>
    <t>/=IF(H2&lt;100; H2*1000; H2)</t>
  </si>
  <si>
    <t>3 batalhas</t>
  </si>
  <si>
    <t>000.000.277-00</t>
  </si>
  <si>
    <t>R$ 60.500,00</t>
  </si>
  <si>
    <t>LORAS BAELISH</t>
  </si>
  <si>
    <t>000.000.217-00</t>
  </si>
  <si>
    <t>20/01/1958</t>
  </si>
  <si>
    <t>R$ 66.000,00</t>
  </si>
  <si>
    <t>Viserys Florent</t>
  </si>
  <si>
    <t>000.000.129-00</t>
  </si>
  <si>
    <t>23/03/1967</t>
  </si>
  <si>
    <t>R$ 15.200,00</t>
  </si>
  <si>
    <t>Jon Marbrand</t>
  </si>
  <si>
    <t>000.000.359-00</t>
  </si>
  <si>
    <t xml:space="preserve">Total </t>
  </si>
  <si>
    <t>Aegon Bracken</t>
  </si>
  <si>
    <t>000.000.244-00</t>
  </si>
  <si>
    <t>terras fluviais</t>
  </si>
  <si>
    <t>loras payne</t>
  </si>
  <si>
    <t>000.000.027-00</t>
  </si>
  <si>
    <t>15/05/1996</t>
  </si>
  <si>
    <t>Missandei  Tarly</t>
  </si>
  <si>
    <t>000.000.196-00</t>
  </si>
  <si>
    <t>24 batalhas</t>
  </si>
  <si>
    <t>Aegon Baelish</t>
  </si>
  <si>
    <t>25/06/1979</t>
  </si>
  <si>
    <t>Meereen | Essos</t>
  </si>
  <si>
    <t>MELISANDRE TARGARYEN</t>
  </si>
  <si>
    <t>000.000.170-00</t>
  </si>
  <si>
    <t>R$ 47.500,00</t>
  </si>
  <si>
    <t>loqueado</t>
  </si>
  <si>
    <t>Roose Cerwyn</t>
  </si>
  <si>
    <t>000.000.047-00</t>
  </si>
  <si>
    <t>Shae Frey</t>
  </si>
  <si>
    <t>24/12/1999</t>
  </si>
  <si>
    <t>R$ 5.000,00</t>
  </si>
  <si>
    <t>61500 moedas</t>
  </si>
  <si>
    <t>Lyanna Swyft</t>
  </si>
  <si>
    <t>Rhaegar Targaryen</t>
  </si>
  <si>
    <t>000.000.342-00</t>
  </si>
  <si>
    <t>19/01/1975</t>
  </si>
  <si>
    <t>31 batalhas</t>
  </si>
  <si>
    <t>Varys Targaryen</t>
  </si>
  <si>
    <t>000.000.234-00</t>
  </si>
  <si>
    <t>Robb Stark</t>
  </si>
  <si>
    <t>000.000.228-00</t>
  </si>
  <si>
    <t>R$ 29.000,00</t>
  </si>
  <si>
    <t>Gendry Hightower</t>
  </si>
  <si>
    <t>000.000.167-00</t>
  </si>
  <si>
    <t>Harrenhal | Terras Fluviais</t>
  </si>
  <si>
    <t>R$ 53.500,00</t>
  </si>
  <si>
    <t>tormund glover</t>
  </si>
  <si>
    <t>000.000.087-00</t>
  </si>
  <si>
    <t>R$ 29.500,00</t>
  </si>
  <si>
    <t>Tyrion Snow</t>
  </si>
  <si>
    <t>Beric  Umber</t>
  </si>
  <si>
    <t>R$ 79.500,00</t>
  </si>
  <si>
    <t>Varys Florent</t>
  </si>
  <si>
    <t>Catelyn Umber</t>
  </si>
  <si>
    <t>R$ 2.900,00</t>
  </si>
  <si>
    <t>R$ 76.000,00</t>
  </si>
  <si>
    <t>Beric Crakehall</t>
  </si>
  <si>
    <t>Samwell Glover</t>
  </si>
  <si>
    <t>R$ 58.000,00</t>
  </si>
  <si>
    <t>Thoros Clegane</t>
  </si>
  <si>
    <t>000.000.141-00</t>
  </si>
  <si>
    <t>17/07/1998</t>
  </si>
  <si>
    <t>R$ 13.400,00</t>
  </si>
  <si>
    <t>R$ 54.000,00</t>
  </si>
  <si>
    <t>THEON BARATHEON</t>
  </si>
  <si>
    <t>000.000.375-00</t>
  </si>
  <si>
    <t>22900 moedas</t>
  </si>
  <si>
    <t>R$ 65.500,00</t>
  </si>
  <si>
    <t>SIM</t>
  </si>
  <si>
    <t>Melisandre  Baelish</t>
  </si>
  <si>
    <t>000.000.152-00</t>
  </si>
  <si>
    <t>19/08/1957</t>
  </si>
  <si>
    <t>25100 moedas</t>
  </si>
  <si>
    <t>Robert Yronwood</t>
  </si>
  <si>
    <t>000.000.075-00</t>
  </si>
  <si>
    <t>15/03/1959</t>
  </si>
  <si>
    <t>R$ 39.500,00</t>
  </si>
  <si>
    <t>Meera Reed</t>
  </si>
  <si>
    <t>000.000.314-00</t>
  </si>
  <si>
    <t>tormund royce</t>
  </si>
  <si>
    <t>000.000.297-00</t>
  </si>
  <si>
    <t>23/08/1991</t>
  </si>
  <si>
    <t>Tyrion Karstark</t>
  </si>
  <si>
    <t>OESTE</t>
  </si>
  <si>
    <t>R$ 67.500,00</t>
  </si>
  <si>
    <t>Missandei Florent</t>
  </si>
  <si>
    <t>000.000.282-00</t>
  </si>
  <si>
    <t>Varys  Stark</t>
  </si>
  <si>
    <t>Jeor Karstark</t>
  </si>
  <si>
    <t>000.000.310-00</t>
  </si>
  <si>
    <t>RENLY MORMONT</t>
  </si>
  <si>
    <t>000.000.376-00</t>
  </si>
  <si>
    <t>R$ 20.700,00</t>
  </si>
  <si>
    <t>19 batalhas</t>
  </si>
  <si>
    <t>Eddard Royce</t>
  </si>
  <si>
    <t>000.000.181-00</t>
  </si>
  <si>
    <t>16/11/1952</t>
  </si>
  <si>
    <t>16000 moedas</t>
  </si>
  <si>
    <t>Rhaegar Lannister</t>
  </si>
  <si>
    <t>R$ 6.400,00</t>
  </si>
  <si>
    <t>Varys Blackwood</t>
  </si>
  <si>
    <t>000.000.373-00</t>
  </si>
  <si>
    <t>EDDARD WESTERLING</t>
  </si>
  <si>
    <t>000.000.094-00</t>
  </si>
  <si>
    <t>Varys  Blackwood</t>
  </si>
  <si>
    <t>41 batalhas</t>
  </si>
  <si>
    <t>Olenna Bracken</t>
  </si>
  <si>
    <t>000.000.225-00</t>
  </si>
  <si>
    <t>Aegon Marbrand</t>
  </si>
  <si>
    <t>Beric Tyrell</t>
  </si>
  <si>
    <t>000.000.242-00</t>
  </si>
  <si>
    <t>R$ 2.000,00</t>
  </si>
  <si>
    <t>Asha Manderly</t>
  </si>
  <si>
    <t>000.000.357-00</t>
  </si>
  <si>
    <t>Ellaria Mormont</t>
  </si>
  <si>
    <t>000.000.157-00</t>
  </si>
  <si>
    <t>29 batalhas</t>
  </si>
  <si>
    <t>Grey Worm Baratheon</t>
  </si>
  <si>
    <t>000.000.221-00</t>
  </si>
  <si>
    <t>Bran Florent</t>
  </si>
  <si>
    <t>Ellaria Swyft</t>
  </si>
  <si>
    <t>000.000.115-00</t>
  </si>
  <si>
    <t>VALE</t>
  </si>
  <si>
    <t>R$ 3.900,00</t>
  </si>
  <si>
    <t>Grey  Worm  Greyjoy</t>
  </si>
  <si>
    <t>000.000.182-00</t>
  </si>
  <si>
    <t>16/08/1968</t>
  </si>
  <si>
    <t>Jeor  Payne</t>
  </si>
  <si>
    <t>Bronn Royce</t>
  </si>
  <si>
    <t>Robert Hornwood</t>
  </si>
  <si>
    <t>000.000.259-00</t>
  </si>
  <si>
    <t>inativo</t>
  </si>
  <si>
    <t>Asha Bolton</t>
  </si>
  <si>
    <t>Bronn Blackwood</t>
  </si>
  <si>
    <t>000.000.052-00</t>
  </si>
  <si>
    <t xml:space="preserve">Braavos  </t>
  </si>
  <si>
    <t>24/12/1982</t>
  </si>
  <si>
    <t>R$ 18.400,00</t>
  </si>
  <si>
    <t>Daario Arryn</t>
  </si>
  <si>
    <t>000.000.173-00</t>
  </si>
  <si>
    <t>Jeor Marbrand</t>
  </si>
  <si>
    <t>000.000.073-00</t>
  </si>
  <si>
    <t>R$ 36.500,00</t>
  </si>
  <si>
    <t>Petyr Karstark</t>
  </si>
  <si>
    <t>Renly Dayne</t>
  </si>
  <si>
    <t>Ramsay Stark</t>
  </si>
  <si>
    <t>000.000.169-00</t>
  </si>
  <si>
    <t>R$ 26.300,00</t>
  </si>
  <si>
    <t>Thoros Karstark</t>
  </si>
  <si>
    <t>000.000.012-00</t>
  </si>
  <si>
    <t>28/11/1972</t>
  </si>
  <si>
    <t>R$ 22.700,00</t>
  </si>
  <si>
    <t>Ellaria Martell</t>
  </si>
  <si>
    <t>000.000.148-00</t>
  </si>
  <si>
    <t>R$ 2.300,00</t>
  </si>
  <si>
    <t>Yara Payne</t>
  </si>
  <si>
    <t>000.000.250-00</t>
  </si>
  <si>
    <t>Viserys Baratheon</t>
  </si>
  <si>
    <t>000.000.186-00</t>
  </si>
  <si>
    <t>17/12/1992</t>
  </si>
  <si>
    <t>Jeor Clegane</t>
  </si>
  <si>
    <t>R$ 9.900,00</t>
  </si>
  <si>
    <t>42000 moedas</t>
  </si>
  <si>
    <t>SANDOR WESTERLING</t>
  </si>
  <si>
    <t>R$ 26.000,00</t>
  </si>
  <si>
    <t>30 batalhas</t>
  </si>
  <si>
    <t>Gilly Frey</t>
  </si>
  <si>
    <t>000.000.258-00</t>
  </si>
  <si>
    <t>R$ 78.000,00</t>
  </si>
  <si>
    <t>Loras Bracken</t>
  </si>
  <si>
    <t>000.000.254-00</t>
  </si>
  <si>
    <t>21/04/1975</t>
  </si>
  <si>
    <t>Atalaia da Água Cinzenta | Gargalo</t>
  </si>
  <si>
    <t>R$ 7.200,00</t>
  </si>
  <si>
    <t>17500 moedas</t>
  </si>
  <si>
    <t>Varys Tallhart</t>
  </si>
  <si>
    <t>Roose Bracken</t>
  </si>
  <si>
    <t>R$ 21.700,00</t>
  </si>
  <si>
    <t>Varys Arryn</t>
  </si>
  <si>
    <t>000.000.097-00</t>
  </si>
  <si>
    <t>28/08/1970</t>
  </si>
  <si>
    <t xml:space="preserve">Jardim de Cima  </t>
  </si>
  <si>
    <t>Asha Redwyne</t>
  </si>
  <si>
    <t>25/07/1991</t>
  </si>
  <si>
    <t>Beric Tallhart</t>
  </si>
  <si>
    <t>000.000.291-00</t>
  </si>
  <si>
    <t>Margaery Cerwyn</t>
  </si>
  <si>
    <t>000.000.211-00</t>
  </si>
  <si>
    <t>5 batalhas</t>
  </si>
  <si>
    <t>Loras Baelish</t>
  </si>
  <si>
    <t>22/06/1978</t>
  </si>
  <si>
    <t>Loras Frey</t>
  </si>
  <si>
    <t>000.000.017-00</t>
  </si>
  <si>
    <t>Bran Karstark</t>
  </si>
  <si>
    <t>000.000.241-00</t>
  </si>
  <si>
    <t>ROBERT CERWYN</t>
  </si>
  <si>
    <t>17800 moedas</t>
  </si>
  <si>
    <t>R$ 9.000,00</t>
  </si>
  <si>
    <t>Thoros Yronwood</t>
  </si>
  <si>
    <t>000.000.201-00</t>
  </si>
  <si>
    <t>R$ 20.200,00</t>
  </si>
  <si>
    <t>Bronn Umber</t>
  </si>
  <si>
    <t>000.000.177-00</t>
  </si>
  <si>
    <t>17/05/1970</t>
  </si>
  <si>
    <t>R$ 11.100,00</t>
  </si>
  <si>
    <t>R$ 13.000,00</t>
  </si>
  <si>
    <t>Brienne Dayne</t>
  </si>
  <si>
    <t>000.000.070-00</t>
  </si>
  <si>
    <t>22/11/1963</t>
  </si>
  <si>
    <t>Bronn Bolton</t>
  </si>
  <si>
    <t>000.000.143-00</t>
  </si>
  <si>
    <t>26800 moedas</t>
  </si>
  <si>
    <t>Rhaegar Hornwood</t>
  </si>
  <si>
    <t>000.000.178-00</t>
  </si>
  <si>
    <t>14/02/1996</t>
  </si>
  <si>
    <t>Meera Tarly</t>
  </si>
  <si>
    <t>000.000.326-00</t>
  </si>
  <si>
    <t>23/06/1952</t>
  </si>
  <si>
    <t>THOROS HORNWOOD</t>
  </si>
  <si>
    <t>000.000.245-00</t>
  </si>
  <si>
    <t>Jeor Martell</t>
  </si>
  <si>
    <t>000.000.061-00</t>
  </si>
  <si>
    <t>20100 moedas</t>
  </si>
  <si>
    <t>Lyanna Stark</t>
  </si>
  <si>
    <t>Loras Payne</t>
  </si>
  <si>
    <t>000.000.023-00</t>
  </si>
  <si>
    <t>R$ 7.500,00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</si>
  <si>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</si>
  <si>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</si>
  <si>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</si>
  <si>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</si>
  <si>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</si>
  <si>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</si>
  <si>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</si>
  <si>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 xml:space="preserve">Meereen  </t>
  </si>
  <si>
    <t>Podrick Florent</t>
  </si>
  <si>
    <t>000.000.354-00</t>
  </si>
  <si>
    <t>INATIVO</t>
  </si>
  <si>
    <t>Daario Cerwyn</t>
  </si>
  <si>
    <t>Melisandre Targaryen</t>
  </si>
  <si>
    <t>15/12/1965</t>
  </si>
  <si>
    <t>Catelyn Tarly</t>
  </si>
  <si>
    <t>27 anos</t>
  </si>
  <si>
    <t>Rickon Lannister</t>
  </si>
  <si>
    <t>000.000.197-00</t>
  </si>
  <si>
    <t>40 batalhas</t>
  </si>
  <si>
    <t>Jorah Marbrand</t>
  </si>
  <si>
    <t>000.000.168-00</t>
  </si>
  <si>
    <t>Pedra do Dragão | Terras da Coroa</t>
  </si>
  <si>
    <t>Renly Seaworth</t>
  </si>
  <si>
    <t>17/09/2007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</si>
  <si>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</si>
  <si>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</si>
  <si>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</si>
  <si>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</si>
  <si>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</si>
  <si>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</si>
  <si>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</si>
  <si>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</si>
  <si>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R$ 12.500,00</t>
  </si>
  <si>
    <t>Jaime Yronwood</t>
  </si>
  <si>
    <t>Thoros Payne</t>
  </si>
  <si>
    <t>17/10/1985</t>
  </si>
  <si>
    <t>000.000.006-00</t>
  </si>
  <si>
    <t>Correrrio | Terras Fluviais</t>
  </si>
  <si>
    <t xml:space="preserve">Harrenhal  </t>
  </si>
  <si>
    <t>theon tarth</t>
  </si>
  <si>
    <t>000.000.289-00</t>
  </si>
  <si>
    <t>Stannis Seaworth</t>
  </si>
  <si>
    <t>000.000.316-00</t>
  </si>
  <si>
    <t>28/08/1962</t>
  </si>
  <si>
    <t>Tormund Glover</t>
  </si>
  <si>
    <t>Grey Worm Dondarrion</t>
  </si>
  <si>
    <t>Olenna Arryn</t>
  </si>
  <si>
    <t>Tyrion Tyrell</t>
  </si>
  <si>
    <t>R$ 59.000,00</t>
  </si>
  <si>
    <t>Robb Clegane</t>
  </si>
  <si>
    <t>000.000.304-00</t>
  </si>
  <si>
    <t>Bran Dondarrion</t>
  </si>
  <si>
    <t>Jeor Baelish</t>
  </si>
  <si>
    <t>000.000.332-00</t>
  </si>
  <si>
    <t>14300 moedas</t>
  </si>
  <si>
    <t>78000 moedas</t>
  </si>
  <si>
    <t>Jaime Dondarrion</t>
  </si>
  <si>
    <t>000.000.056-00</t>
  </si>
  <si>
    <t>20900 moedas</t>
  </si>
  <si>
    <t>Loras Manderly</t>
  </si>
  <si>
    <t>Monte Chifre | Campina</t>
  </si>
  <si>
    <t>18 batalhas</t>
  </si>
  <si>
    <t>Beric Seaworth</t>
  </si>
  <si>
    <t>000.000.025-00</t>
  </si>
  <si>
    <t>Lyanna Seaworth</t>
  </si>
  <si>
    <t>000.000.041-00</t>
  </si>
  <si>
    <t>Theon Baratheon</t>
  </si>
  <si>
    <t>Margaery Marbrand</t>
  </si>
  <si>
    <t>000.000.146-00</t>
  </si>
  <si>
    <t>Tormund Yronwood</t>
  </si>
  <si>
    <t>000.000.187-00</t>
  </si>
  <si>
    <t>Ramsay Tarly</t>
  </si>
  <si>
    <t>21/07/1991</t>
  </si>
  <si>
    <t>R$ 5.500,00</t>
  </si>
  <si>
    <t>Shae Mormont</t>
  </si>
  <si>
    <t>000.000.114-00</t>
  </si>
  <si>
    <t>renly bolton</t>
  </si>
  <si>
    <t>000.000.303-00</t>
  </si>
  <si>
    <t>Grey Worm Hornwood</t>
  </si>
  <si>
    <t>000.000.322-00</t>
  </si>
  <si>
    <t>52000 moedas</t>
  </si>
  <si>
    <t>Rhaegar Dayne</t>
  </si>
  <si>
    <t>000.000.335-00</t>
  </si>
  <si>
    <t>R$ 48.500,00</t>
  </si>
  <si>
    <t>Tormund Royce</t>
  </si>
  <si>
    <t>BRAN BOLTON</t>
  </si>
  <si>
    <t>000.000.003-00</t>
  </si>
  <si>
    <t>13/06/2003</t>
  </si>
  <si>
    <t>Shae Tarly</t>
  </si>
  <si>
    <t>000.000.235-00</t>
  </si>
  <si>
    <t>000.000.307-00</t>
  </si>
  <si>
    <t>R$ 41.000,00</t>
  </si>
  <si>
    <t>Melisandre Crakehall</t>
  </si>
  <si>
    <t>000.000.260-00</t>
  </si>
  <si>
    <t>45500 moedas</t>
  </si>
  <si>
    <t>Sandor Westerling</t>
  </si>
  <si>
    <t>000.000.008-00</t>
  </si>
  <si>
    <t>Petyr Snow</t>
  </si>
  <si>
    <t>Robert Tarth</t>
  </si>
  <si>
    <t>000.000.001-00</t>
  </si>
  <si>
    <t>Robb Greyjoy</t>
  </si>
  <si>
    <t>000.000.227-00</t>
  </si>
  <si>
    <t>14/06/2001</t>
  </si>
  <si>
    <t>Yara  Marbrand</t>
  </si>
  <si>
    <t>000.000.266-00</t>
  </si>
  <si>
    <t>Cersei  Marbrand</t>
  </si>
  <si>
    <t>000.000.158-00</t>
  </si>
  <si>
    <t>000.000.020-00</t>
  </si>
  <si>
    <t>R$ 4.500,00</t>
  </si>
  <si>
    <t>R$ 20.000,00</t>
  </si>
  <si>
    <t>Yara Tallhart</t>
  </si>
  <si>
    <t>Gilly Mormont</t>
  </si>
  <si>
    <t>000.000.220-00</t>
  </si>
  <si>
    <t>26/03/1961</t>
  </si>
  <si>
    <t>Brienne Dondarrion</t>
  </si>
  <si>
    <t>000.000.256-00</t>
  </si>
  <si>
    <t>Renly Mormont</t>
  </si>
  <si>
    <t>R$ 9.300,00</t>
  </si>
  <si>
    <t>Missandei Glover</t>
  </si>
  <si>
    <t>Bronn Manderly</t>
  </si>
  <si>
    <t>000.000.074-00</t>
  </si>
  <si>
    <t>Aegon Florent</t>
  </si>
  <si>
    <t>23/11/1970</t>
  </si>
  <si>
    <t>Daario  Dayne</t>
  </si>
  <si>
    <t>000.000.144-00</t>
  </si>
  <si>
    <t>15/05/2001</t>
  </si>
  <si>
    <t>32 anos</t>
  </si>
  <si>
    <t>Roose Dondarrion</t>
  </si>
  <si>
    <t>000.000.126-00</t>
  </si>
  <si>
    <t>R$ 21.300,00</t>
  </si>
  <si>
    <t>Stannis Greyjoy</t>
  </si>
  <si>
    <t>000.000.236-00</t>
  </si>
  <si>
    <t>Thoros Greyjoy</t>
  </si>
  <si>
    <t>000.000.043-00</t>
  </si>
  <si>
    <t>Eddard Westerling</t>
  </si>
  <si>
    <t>60000 moedas</t>
  </si>
  <si>
    <t>Thoros Crakehall</t>
  </si>
  <si>
    <t>17/05/1952</t>
  </si>
  <si>
    <t>R$ 17.500,00</t>
  </si>
  <si>
    <t>Viserys  Umber</t>
  </si>
  <si>
    <t>000.000.155-00</t>
  </si>
  <si>
    <t>18000 moedas</t>
  </si>
  <si>
    <t>Cersei Greyjoy</t>
  </si>
  <si>
    <t>000.000.265-00</t>
  </si>
  <si>
    <t>17/12/1978</t>
  </si>
  <si>
    <t>21300 moedas</t>
  </si>
  <si>
    <t>Tormund Tyrell</t>
  </si>
  <si>
    <t>000.000.378-00</t>
  </si>
  <si>
    <t>Bronn Stark</t>
  </si>
  <si>
    <t>000.000.313-00</t>
  </si>
  <si>
    <t>25/04/1996</t>
  </si>
  <si>
    <t>R$ 13.800,00</t>
  </si>
  <si>
    <t>Tyrion Blackwood</t>
  </si>
  <si>
    <t>000.000.100-00</t>
  </si>
  <si>
    <t>Brienne Westerling</t>
  </si>
  <si>
    <t>000.000.379-00</t>
  </si>
  <si>
    <t>16/04/1967</t>
  </si>
  <si>
    <t>Beric Manderly</t>
  </si>
  <si>
    <t>R$ 24.500,00</t>
  </si>
  <si>
    <t>Jojen Hornwood</t>
  </si>
  <si>
    <t>000.000.128-00</t>
  </si>
  <si>
    <t>theon baelish</t>
  </si>
  <si>
    <t>000.000.380-00</t>
  </si>
  <si>
    <t>Aegon Hornwood</t>
  </si>
  <si>
    <t>Ellaria Redwyne</t>
  </si>
  <si>
    <t>000.000.093-00</t>
  </si>
  <si>
    <t>missandei redwyne</t>
  </si>
  <si>
    <t>000.000.111-00</t>
  </si>
  <si>
    <t>000.000.007-00</t>
  </si>
  <si>
    <t>28/04/1982</t>
  </si>
  <si>
    <t>Eddard Payne</t>
  </si>
  <si>
    <t>9200 moedas</t>
  </si>
  <si>
    <t>R$ 68.500,00</t>
  </si>
  <si>
    <t>CERSEI GLOVER</t>
  </si>
  <si>
    <t>000.000.324-00</t>
  </si>
  <si>
    <t>4 batalhas</t>
  </si>
  <si>
    <t>Theon Karstark</t>
  </si>
  <si>
    <t>000.000.296-00</t>
  </si>
  <si>
    <t>Jon Cerwyn</t>
  </si>
  <si>
    <t>000.000.112-00</t>
  </si>
  <si>
    <t>13 batalhas</t>
  </si>
  <si>
    <t>Jon Bolton</t>
  </si>
  <si>
    <t>000.000.130-00</t>
  </si>
  <si>
    <t>Robert Stark</t>
  </si>
  <si>
    <t>000.000.315-00</t>
  </si>
  <si>
    <t>Tyrion Lannister</t>
  </si>
  <si>
    <t>26 batalhas</t>
  </si>
  <si>
    <t>Eddard Greyjoy</t>
  </si>
  <si>
    <t>000.000.238-00</t>
  </si>
  <si>
    <t>000.000.374-00</t>
  </si>
  <si>
    <t>23/01/1959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</si>
  <si>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</si>
  <si>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</si>
  <si>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</si>
  <si>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</si>
  <si>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</si>
  <si>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</si>
  <si>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</si>
  <si>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>Renly Blackwood</t>
  </si>
  <si>
    <t>000.000.106-00</t>
  </si>
  <si>
    <t>18/12/2005</t>
  </si>
  <si>
    <t>R$ 26.500,00</t>
  </si>
  <si>
    <t>Davos  Baratheon</t>
  </si>
  <si>
    <t>000.000.055-00</t>
  </si>
  <si>
    <t>Bronn Crakehall</t>
  </si>
  <si>
    <t>16/09/1957</t>
  </si>
  <si>
    <t>3600 moedas</t>
  </si>
  <si>
    <t>000.000.339-00</t>
  </si>
  <si>
    <t>16/09/1972</t>
  </si>
  <si>
    <t>Cersei Umber</t>
  </si>
  <si>
    <t>000.000.058-00</t>
  </si>
  <si>
    <t>petyr yronwood</t>
  </si>
  <si>
    <t>000.000.095-00</t>
  </si>
  <si>
    <t>Robert Westerling</t>
  </si>
  <si>
    <t>000.000.105-00</t>
  </si>
  <si>
    <t>27300 moedas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</si>
  <si>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</si>
  <si>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</si>
  <si>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</si>
  <si>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</si>
  <si>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</si>
  <si>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</si>
  <si>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</si>
  <si>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</si>
  <si>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28/07/1971</t>
  </si>
  <si>
    <t>29700 moedas</t>
  </si>
  <si>
    <t>Lyanna Tarly</t>
  </si>
  <si>
    <t>000.000.232-00</t>
  </si>
  <si>
    <t>Cersei Tarth</t>
  </si>
  <si>
    <t>000.000.147-00</t>
  </si>
  <si>
    <t>14/09/1973</t>
  </si>
  <si>
    <t>74000 moedas</t>
  </si>
  <si>
    <t>Catelyn Mallister</t>
  </si>
  <si>
    <t>000.000.062-00</t>
  </si>
  <si>
    <t>26/12/1962</t>
  </si>
  <si>
    <t>Castelo Negro | Norte</t>
  </si>
  <si>
    <t>Brienne Mallister</t>
  </si>
  <si>
    <t>000.000.202-00</t>
  </si>
  <si>
    <t>25/06/1973</t>
  </si>
  <si>
    <t>Ilha dos Ursos | Norte</t>
  </si>
  <si>
    <t>Stannis Crakehall</t>
  </si>
  <si>
    <t>000.000.351-00</t>
  </si>
  <si>
    <t>Sansa Dondarrion</t>
  </si>
  <si>
    <t>000.000.101-00</t>
  </si>
  <si>
    <t>Beric  Karstark</t>
  </si>
  <si>
    <t>000.000.172-00</t>
  </si>
  <si>
    <t>Bran Umber</t>
  </si>
  <si>
    <t>R$ 57.000,00</t>
  </si>
  <si>
    <t>000.000.104-00</t>
  </si>
  <si>
    <t>27/01/1975</t>
  </si>
  <si>
    <t>Davos Umber</t>
  </si>
  <si>
    <t>000.000.353-00</t>
  </si>
  <si>
    <t>23/02/1952</t>
  </si>
  <si>
    <t>6 batalhas</t>
  </si>
  <si>
    <t>Aegon Redwyne</t>
  </si>
  <si>
    <t>000.000.347-00</t>
  </si>
  <si>
    <t xml:space="preserve">Atalaia da Água Cinzenta  </t>
  </si>
  <si>
    <t>Robert Mallister</t>
  </si>
  <si>
    <t>15/06/1969</t>
  </si>
  <si>
    <t>R$ 73.500,00</t>
  </si>
  <si>
    <t>MARGAERY DONDARRION</t>
  </si>
  <si>
    <t>41 anos</t>
  </si>
  <si>
    <t>Roose Bolton</t>
  </si>
  <si>
    <t>25/11/1952</t>
  </si>
  <si>
    <t>Jon Hornwood</t>
  </si>
  <si>
    <t>Shae  Dayne</t>
  </si>
  <si>
    <t>000.000.312-00</t>
  </si>
  <si>
    <t>23/09/2000</t>
  </si>
  <si>
    <t>Petyr Swyft</t>
  </si>
  <si>
    <t>000.000.275-00</t>
  </si>
  <si>
    <t>Robert Cerwyn</t>
  </si>
  <si>
    <t>Jaime Bracken</t>
  </si>
  <si>
    <t>R$ 12.400,00</t>
  </si>
  <si>
    <t>Rhaegar Mormont</t>
  </si>
  <si>
    <t>000.000.109-00</t>
  </si>
  <si>
    <t>18/07/1962</t>
  </si>
  <si>
    <t>Jorah Florent</t>
  </si>
  <si>
    <t>000.000.204-00</t>
  </si>
  <si>
    <t>Asha Blackwood</t>
  </si>
  <si>
    <t>000.000.085-00</t>
  </si>
  <si>
    <t>Gilly Swyft</t>
  </si>
  <si>
    <t>000.000.261-00</t>
  </si>
  <si>
    <t>R$ 64.500,00</t>
  </si>
  <si>
    <t>Bran Frey</t>
  </si>
  <si>
    <t>000.000.189-00</t>
  </si>
  <si>
    <t>Rickon Targaryen</t>
  </si>
  <si>
    <t>000.000.298-00</t>
  </si>
  <si>
    <t>13/10/2006</t>
  </si>
  <si>
    <t>4000 moedas</t>
  </si>
  <si>
    <t>Thoros Hornwood</t>
  </si>
  <si>
    <t>Lyanna Westerling</t>
  </si>
  <si>
    <t>000.000.004-00</t>
  </si>
  <si>
    <t>RENLY STARK</t>
  </si>
  <si>
    <t>olenna hornwood</t>
  </si>
  <si>
    <t>Aegon Blackwood</t>
  </si>
  <si>
    <t>000.000.118-00</t>
  </si>
  <si>
    <t>Brienne Glover</t>
  </si>
  <si>
    <t>000.000.355-00</t>
  </si>
  <si>
    <t>Ellaria Cerwyn</t>
  </si>
  <si>
    <t>000.000.019-00</t>
  </si>
  <si>
    <t>51 anos</t>
  </si>
  <si>
    <t>15/12/1974</t>
  </si>
  <si>
    <t>R$ 11.600,00</t>
  </si>
  <si>
    <t>7 batalhas</t>
  </si>
  <si>
    <t>Loras Lannister</t>
  </si>
  <si>
    <t>000.000.302-00</t>
  </si>
  <si>
    <t>000.000.103-00</t>
  </si>
  <si>
    <t>28/08/2006</t>
  </si>
  <si>
    <t>Catelyn  Dayne</t>
  </si>
  <si>
    <t>000.000.213-00</t>
  </si>
  <si>
    <t>21/11/1957</t>
  </si>
  <si>
    <t>LYANNA TARTH</t>
  </si>
  <si>
    <t>000.000.345-00</t>
  </si>
  <si>
    <t>19900 moedas</t>
  </si>
  <si>
    <t>Varys Lannister</t>
  </si>
  <si>
    <t>000.000.367-00</t>
  </si>
  <si>
    <t>21600 moedas</t>
  </si>
  <si>
    <t>Ellaria Targaryen</t>
  </si>
  <si>
    <t>000.000.149-00</t>
  </si>
  <si>
    <t>24/10/1971</t>
  </si>
  <si>
    <t>000.000.010-00</t>
  </si>
  <si>
    <t>80000 moedas</t>
  </si>
  <si>
    <t xml:space="preserve">Pedra do Dragão  </t>
  </si>
  <si>
    <t>17/02/2000</t>
  </si>
  <si>
    <t>48500 moedas</t>
  </si>
  <si>
    <t>Bronn Baratheon</t>
  </si>
  <si>
    <t>Jojen Dayne</t>
  </si>
  <si>
    <t>000.000.199-00</t>
  </si>
  <si>
    <t>Sandor Clegane</t>
  </si>
  <si>
    <t>000.000.164-00</t>
  </si>
  <si>
    <t>Thoros Westerling</t>
  </si>
  <si>
    <t>Stannis Westerling</t>
  </si>
  <si>
    <t>000.000.071-00</t>
  </si>
  <si>
    <t>000.000.079-00</t>
  </si>
  <si>
    <t>Melisandre Cerwyn</t>
  </si>
  <si>
    <t>Brienne Karstark</t>
  </si>
  <si>
    <t>000.000.120-00</t>
  </si>
  <si>
    <t>23/11/1996</t>
  </si>
  <si>
    <t>6400 moedas</t>
  </si>
  <si>
    <t>Thoros  Frey</t>
  </si>
  <si>
    <t>000.000.113-00</t>
  </si>
  <si>
    <t>R$ 75.500,00</t>
  </si>
  <si>
    <t>Gilly Glover</t>
  </si>
  <si>
    <t>R$ 2.800,00</t>
  </si>
  <si>
    <t>R$ 35.000,00</t>
  </si>
  <si>
    <t>Robb Reed</t>
  </si>
  <si>
    <t>000.000.246-00</t>
  </si>
  <si>
    <t>19/06/1997</t>
  </si>
  <si>
    <t>Petyr Mallister</t>
  </si>
  <si>
    <t>25/07/1980</t>
  </si>
  <si>
    <t>Rickon Frey</t>
  </si>
  <si>
    <t>000.000.013-00</t>
  </si>
  <si>
    <t>Loras  Tarth</t>
  </si>
  <si>
    <t>000.000.286-00</t>
  </si>
  <si>
    <t xml:space="preserve">Correrrio  </t>
  </si>
  <si>
    <t>Theon Frey</t>
  </si>
  <si>
    <t>000.000.123-00</t>
  </si>
  <si>
    <t>Renly Tallhart</t>
  </si>
  <si>
    <t>R$ 25.900,00</t>
  </si>
  <si>
    <t>Theon Tarth</t>
  </si>
  <si>
    <t>Yara Mallister</t>
  </si>
  <si>
    <t>000.000.134-00</t>
  </si>
  <si>
    <t>Grey Worm Targaryen</t>
  </si>
  <si>
    <t>000.000.060-00</t>
  </si>
  <si>
    <t>Sandor Dondarrion</t>
  </si>
  <si>
    <t>Robert Manderly</t>
  </si>
  <si>
    <t>R$ 26.400,00</t>
  </si>
  <si>
    <t>Margaery Tyrell</t>
  </si>
  <si>
    <t>000.000.107-00</t>
  </si>
  <si>
    <t>DAARIO TARLY</t>
  </si>
  <si>
    <t>000.000.046-00</t>
  </si>
  <si>
    <t>Tyrion Clegane</t>
  </si>
  <si>
    <t>000.000.281-00</t>
  </si>
  <si>
    <t>11400 moedas</t>
  </si>
  <si>
    <t>Viserys Hightower</t>
  </si>
  <si>
    <t>000.000.080-00</t>
  </si>
  <si>
    <t>14/04/1972</t>
  </si>
  <si>
    <t>20800 moedas</t>
  </si>
  <si>
    <t>Aegon Umber</t>
  </si>
  <si>
    <t>000.000.356-00</t>
  </si>
  <si>
    <t>Melisandre Glover</t>
  </si>
  <si>
    <t>000.000.329-00</t>
  </si>
  <si>
    <t>Jon Baelish</t>
  </si>
  <si>
    <t>19/05/1959</t>
  </si>
  <si>
    <t>Bran Tarly</t>
  </si>
  <si>
    <t>000.000.269-00</t>
  </si>
  <si>
    <t>R$ 21.500,00</t>
  </si>
  <si>
    <t>Eddard Dayne</t>
  </si>
  <si>
    <t>R$ 18.200,00</t>
  </si>
  <si>
    <t>000.000.280-00</t>
  </si>
  <si>
    <t>29500 moedas</t>
  </si>
  <si>
    <t>Renly Bolton</t>
  </si>
  <si>
    <t>R$ 21.100,00</t>
  </si>
  <si>
    <t>Rhaegar Payne</t>
  </si>
  <si>
    <t>000.000.253-00</t>
  </si>
  <si>
    <t>R$ 15.000,00</t>
  </si>
  <si>
    <t>Davos Royce</t>
  </si>
  <si>
    <t>Daario Tarth</t>
  </si>
  <si>
    <t>R$ 15.800,00</t>
  </si>
  <si>
    <t>Robert Payne</t>
  </si>
  <si>
    <t>000.000.068-00</t>
  </si>
  <si>
    <t>Roose Baelish</t>
  </si>
  <si>
    <t>000.000.366-00</t>
  </si>
  <si>
    <t>Missandei Arryn</t>
  </si>
  <si>
    <t>000.000.368-00</t>
  </si>
  <si>
    <t>000.000.371-00</t>
  </si>
  <si>
    <t>Podrick Stark</t>
  </si>
  <si>
    <t>000.000.029-00</t>
  </si>
  <si>
    <t>000.000.262-00</t>
  </si>
  <si>
    <t>49000 moedas</t>
  </si>
  <si>
    <t>Jorah Stark</t>
  </si>
  <si>
    <t>000.000.021-00</t>
  </si>
  <si>
    <t xml:space="preserve">Monte Chifre  </t>
  </si>
  <si>
    <t>Roose Frey</t>
  </si>
  <si>
    <t>000.000.292-00</t>
  </si>
  <si>
    <t>Tyrion Westerling</t>
  </si>
  <si>
    <t>R$ 23.100,00</t>
  </si>
  <si>
    <t>Shae Blackwood</t>
  </si>
  <si>
    <t>R$ 9.400,00</t>
  </si>
  <si>
    <t>Aegon Clegane</t>
  </si>
  <si>
    <t>000.000.330-00</t>
  </si>
  <si>
    <t>16600 moedas</t>
  </si>
  <si>
    <t>Margaery Redwyne</t>
  </si>
  <si>
    <t>Bronn Dondarrion</t>
  </si>
  <si>
    <t>000.000.036-00</t>
  </si>
  <si>
    <t>Ellaria Yronwood</t>
  </si>
  <si>
    <t>000.000.176-00</t>
  </si>
  <si>
    <t>Olenna Lannister</t>
  </si>
  <si>
    <t>000.000.212-00</t>
  </si>
  <si>
    <t>000.000.042-00</t>
  </si>
  <si>
    <t>Sansa Clegane</t>
  </si>
  <si>
    <t>000.000.174-00</t>
  </si>
  <si>
    <t>67 anos</t>
  </si>
  <si>
    <t>Daario Yronwood</t>
  </si>
  <si>
    <t>Ramsay Karstark</t>
  </si>
  <si>
    <t>000.000.185-00</t>
  </si>
  <si>
    <t>R$ 5.600,00</t>
  </si>
  <si>
    <t>000.000.048-00</t>
  </si>
  <si>
    <t>R$ 29.700,00</t>
  </si>
  <si>
    <t>Meera Lannister</t>
  </si>
  <si>
    <t>000.000.121-00</t>
  </si>
  <si>
    <t>22200 moedas</t>
  </si>
  <si>
    <t>000.000.268-00</t>
  </si>
  <si>
    <t>podrick umber</t>
  </si>
  <si>
    <t>Rickon Hornwood</t>
  </si>
  <si>
    <t>000.000.078-00</t>
  </si>
  <si>
    <t>Arya Bolton</t>
  </si>
  <si>
    <t>Ramsay Blackwood</t>
  </si>
  <si>
    <t>Bran Bolton</t>
  </si>
  <si>
    <t>000.000.035-00</t>
  </si>
  <si>
    <t>Theon Baelish</t>
  </si>
  <si>
    <t>Missandei Redwyne</t>
  </si>
  <si>
    <t>Cersei Glover</t>
  </si>
  <si>
    <t xml:space="preserve">Lannisporto  </t>
  </si>
  <si>
    <t>Petyr Yronwood</t>
  </si>
  <si>
    <t xml:space="preserve">Castelo Negro  </t>
  </si>
  <si>
    <t xml:space="preserve">Ilha dos Ursos  </t>
  </si>
  <si>
    <t>Margaery Dondarrion</t>
  </si>
  <si>
    <t>Renly Stark</t>
  </si>
  <si>
    <t>Olenna Hornwood</t>
  </si>
  <si>
    <t>Lyanna Tarth</t>
  </si>
  <si>
    <t>Daario Tarly</t>
  </si>
  <si>
    <t>Harrenhal  Terras Fluviais</t>
  </si>
  <si>
    <t>Podrick 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</si>
</sst>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$]#,##0.00"/>
    <numFmt numFmtId="165" formatCode="000&quot;.&quot;000&quot;.&quot;000&quot;-&quot;00"/>
    <numFmt numFmtId="166" formatCode="_([$R$ -416]* #,##0.00_);_([$R$ -416]* \(#,##0.00\);_([$R$ -416]* &quot;-&quot;??_);_(@_)"/>
    <numFmt numFmtId="167" formatCode="dd&quot;/&quot;mm&quot;/&quot;yyyy"/>
    <numFmt numFmtId="168" formatCode="mm/dd/yyyy"/>
    <numFmt numFmtId="169" formatCode="m/d/yyyy"/>
    <numFmt numFmtId="170" formatCode="dd/mm/yyyy"/>
    <numFmt numFmtId="171" formatCode="d/m/yyyy"/>
    <numFmt numFmtId="172" formatCode="dd/MM/yyyy"/>
  </numFmts>
  <fonts count="11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color theme="1"/>
      <name val="Arial"/>
    </font>
    <font>
      <b/>
      <color theme="1"/>
      <name val="Arial"/>
    </font>
    <font>
      <b/>
      <color rgb="FFFFFFFF"/>
      <name val="Arial"/>
    </font>
    <font/>
    <font>
      <b/>
      <color rgb="FF000000"/>
      <name val="Arial"/>
    </font>
    <font>
      <b/>
      <color rgb="FF1C4587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1155CC"/>
        <bgColor rgb="FF1155CC"/>
      </patternFill>
    </fill>
    <fill>
      <patternFill patternType="solid">
        <fgColor rgb="FF78909C"/>
        <bgColor rgb="FF78909C"/>
      </patternFill>
    </fill>
    <fill>
      <patternFill patternType="solid">
        <fgColor rgb="FFF46524"/>
        <bgColor rgb="FFF46524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8BC34A"/>
        <bgColor rgb="FF8BC34A"/>
      </patternFill>
    </fill>
    <fill>
      <patternFill patternType="solid">
        <fgColor rgb="FFEBEFF1"/>
        <bgColor rgb="FFEBEFF1"/>
      </patternFill>
    </fill>
    <fill>
      <patternFill patternType="solid">
        <fgColor rgb="FFFFE6DD"/>
        <bgColor rgb="FFFFE6DD"/>
      </patternFill>
    </fill>
    <fill>
      <patternFill patternType="solid">
        <fgColor rgb="FFEEF7E3"/>
        <bgColor rgb="FFEEF7E3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20124D"/>
        <bgColor rgb="FF20124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4" numFmtId="0" xfId="0" applyAlignment="1" applyFill="1" applyFont="1">
      <alignment horizontal="center" readingOrder="0"/>
    </xf>
    <xf borderId="0" fillId="8" fontId="3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9" fontId="3" numFmtId="0" xfId="0" applyAlignment="1" applyFill="1" applyFont="1">
      <alignment readingOrder="0"/>
    </xf>
    <xf borderId="0" fillId="8" fontId="3" numFmtId="0" xfId="0" applyFill="1" applyFont="1"/>
    <xf borderId="0" fillId="8" fontId="3" numFmtId="164" xfId="0" applyAlignment="1" applyFill="1" applyFont="1" applyNumberFormat="1">
      <alignment readingOrder="0"/>
    </xf>
    <xf borderId="0" fillId="8" fontId="3" numFmtId="0" xfId="0" applyFill="1" applyFont="1"/>
    <xf borderId="0" fillId="10" fontId="3" numFmtId="0" xfId="0" applyAlignment="1" applyFill="1" applyFont="1">
      <alignment readingOrder="0"/>
    </xf>
    <xf borderId="0" fillId="10" fontId="3" numFmtId="164" xfId="0" applyAlignment="1" applyFill="1" applyFont="1" applyNumberFormat="1">
      <alignment readingOrder="0"/>
    </xf>
    <xf borderId="0" fillId="11" fontId="3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1" fontId="3" numFmtId="0" xfId="0" applyFill="1" applyFont="1"/>
    <xf borderId="0" fillId="11" fontId="3" numFmtId="0" xfId="0" applyFill="1" applyFont="1"/>
    <xf borderId="0" fillId="13" fontId="5" numFmtId="0" xfId="0" applyFill="1" applyFont="1"/>
    <xf borderId="0" fillId="13" fontId="5" numFmtId="165" xfId="0" applyFill="1" applyFont="1" applyNumberFormat="1"/>
    <xf borderId="0" fillId="13" fontId="5" numFmtId="49" xfId="0" applyAlignment="1" applyFill="1" applyFont="1" applyNumberFormat="1">
      <alignment horizontal="center"/>
    </xf>
    <xf borderId="0" fillId="13" fontId="5" numFmtId="166" xfId="0" applyFill="1" applyFont="1" applyNumberFormat="1"/>
    <xf borderId="0" fillId="13" fontId="5" numFmtId="0" xfId="0" applyAlignment="1" applyFill="1" applyFont="1">
      <alignment horizontal="center"/>
    </xf>
    <xf borderId="0" fillId="13" fontId="5" numFmtId="164" xfId="0" applyFill="1" applyFont="1" applyNumberFormat="1"/>
    <xf borderId="0" fillId="13" fontId="5" numFmtId="164" xfId="0" applyAlignment="1" applyFill="1" applyFont="1" applyNumberFormat="1">
      <alignment horizontal="center"/>
    </xf>
    <xf borderId="0" fillId="8" fontId="5" numFmtId="0" xfId="0" applyFill="1" applyFont="1"/>
    <xf borderId="0" fillId="8" fontId="5" numFmtId="165" xfId="0" applyFill="1" applyFont="1" applyNumberFormat="1"/>
    <xf borderId="0" fillId="8" fontId="5" numFmtId="0" xfId="0" applyAlignment="1" applyFill="1" applyFont="1">
      <alignment horizontal="center"/>
    </xf>
    <xf borderId="0" fillId="8" fontId="5" numFmtId="167" xfId="0" applyAlignment="1" applyFill="1" applyFont="1" applyNumberFormat="1">
      <alignment horizontal="center"/>
    </xf>
    <xf borderId="0" fillId="8" fontId="5" numFmtId="166" xfId="0" applyFill="1" applyFont="1" applyNumberFormat="1"/>
    <xf borderId="0" fillId="8" fontId="5" numFmtId="164" xfId="0" applyFill="1" applyFont="1" applyNumberFormat="1"/>
    <xf borderId="0" fillId="8" fontId="5" numFmtId="164" xfId="0" applyAlignment="1" applyFill="1" applyFont="1" applyNumberFormat="1">
      <alignment horizontal="center"/>
    </xf>
    <xf borderId="0" fillId="14" fontId="5" numFmtId="0" xfId="0" applyFill="1" applyFont="1"/>
    <xf borderId="0" fillId="14" fontId="5" numFmtId="165" xfId="0" applyFill="1" applyFont="1" applyNumberFormat="1"/>
    <xf borderId="0" fillId="14" fontId="5" numFmtId="0" xfId="0" applyAlignment="1" applyFill="1" applyFont="1">
      <alignment horizontal="center"/>
    </xf>
    <xf borderId="0" fillId="14" fontId="5" numFmtId="167" xfId="0" applyAlignment="1" applyFill="1" applyFont="1" applyNumberFormat="1">
      <alignment horizontal="center"/>
    </xf>
    <xf borderId="0" fillId="14" fontId="5" numFmtId="166" xfId="0" applyFill="1" applyFont="1" applyNumberFormat="1"/>
    <xf borderId="0" fillId="14" fontId="5" numFmtId="164" xfId="0" applyFill="1" applyFont="1" applyNumberFormat="1"/>
    <xf borderId="0" fillId="14" fontId="5" numFmtId="164" xfId="0" applyAlignment="1" applyFill="1" applyFont="1" applyNumberFormat="1">
      <alignment horizontal="center"/>
    </xf>
    <xf borderId="0" fillId="0" fontId="3" numFmtId="0" xfId="0" applyFont="1"/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4" fillId="0" fontId="6" numFmtId="0" xfId="0" applyBorder="1" applyFont="1"/>
    <xf borderId="0" fillId="0" fontId="5" numFmtId="0" xfId="0" applyFont="1"/>
    <xf borderId="5" fillId="0" fontId="5" numFmtId="0" xfId="0" applyBorder="1" applyFont="1"/>
    <xf borderId="0" fillId="0" fontId="3" numFmtId="168" xfId="0" applyFont="1" applyNumberFormat="1"/>
    <xf borderId="6" fillId="0" fontId="6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3" numFmtId="169" xfId="0" applyFont="1" applyNumberFormat="1"/>
    <xf borderId="0" fillId="0" fontId="7" numFmtId="0" xfId="0" applyFont="1"/>
    <xf borderId="9" fillId="15" fontId="7" numFmtId="0" xfId="0" applyBorder="1" applyFill="1" applyFont="1"/>
    <xf borderId="2" fillId="0" fontId="8" numFmtId="0" xfId="0" applyBorder="1" applyFont="1"/>
    <xf borderId="3" fillId="0" fontId="8" numFmtId="0" xfId="0" applyBorder="1" applyFont="1"/>
    <xf borderId="0" fillId="0" fontId="5" numFmtId="0" xfId="0" applyFont="1"/>
    <xf borderId="0" fillId="0" fontId="9" numFmtId="0" xfId="0" applyFont="1"/>
    <xf borderId="0" fillId="0" fontId="5" numFmtId="0" xfId="0" applyAlignment="1" applyFont="1">
      <alignment readingOrder="0"/>
    </xf>
    <xf borderId="0" fillId="0" fontId="10" numFmtId="0" xfId="0" applyAlignment="1" applyFont="1">
      <alignment horizontal="left"/>
    </xf>
    <xf borderId="0" fillId="0" fontId="5" numFmtId="10" xfId="0" applyFont="1" applyNumberFormat="1"/>
    <xf borderId="0" fillId="0" fontId="5" numFmtId="0" xfId="0" applyAlignment="1" applyFont="1">
      <alignment readingOrder="0"/>
    </xf>
    <xf borderId="0" fillId="0" fontId="3" numFmtId="170" xfId="0" applyFont="1" applyNumberFormat="1"/>
    <xf borderId="0" fillId="0" fontId="3" numFmtId="3" xfId="0" applyFont="1" applyNumberFormat="1"/>
    <xf borderId="0" fillId="0" fontId="3" numFmtId="171" xfId="0" applyFont="1" applyNumberFormat="1"/>
    <xf borderId="0" fillId="0" fontId="3" numFmtId="0" xfId="0" applyFont="1"/>
    <xf borderId="0" fillId="14" fontId="5" numFmtId="170" xfId="0" applyAlignment="1" applyFill="1" applyFont="1" applyNumberFormat="1">
      <alignment horizontal="center"/>
    </xf>
    <xf borderId="0" fillId="8" fontId="5" numFmtId="170" xfId="0" applyAlignment="1" applyFill="1" applyFont="1" applyNumberFormat="1">
      <alignment horizontal="center"/>
    </xf>
    <xf borderId="0" fillId="8" fontId="5" numFmtId="172" xfId="0" applyAlignment="1" applyFill="1" applyFont="1" applyNumberFormat="1">
      <alignment horizontal="center"/>
    </xf>
    <xf borderId="0" fillId="14" fontId="5" numFmtId="172" xfId="0" applyAlignment="1" applyFill="1" applyFont="1" applyNumberFormat="1">
      <alignment horizontal="center"/>
    </xf>
    <xf borderId="0" fillId="14" fontId="5" numFmtId="171" xfId="0" applyAlignment="1" applyFill="1" applyFont="1" applyNumberFormat="1">
      <alignment horizontal="center"/>
    </xf>
    <xf borderId="0" fillId="0" fontId="5" numFmtId="164" xfId="0" applyAlignment="1" applyFont="1" applyNumberFormat="1">
      <alignment horizont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b/>
        <color rgb="FF0C343D"/>
      </font>
      <fill>
        <patternFill patternType="none"/>
      </fill>
      <border/>
    </dxf>
    <dxf>
      <font>
        <b/>
        <color rgb="FF980000"/>
      </font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3">
    <tableStyle count="3" pivot="0" name="Original_SemLimpeza-style">
      <tableStyleElement dxfId="3" type="headerRow"/>
      <tableStyleElement dxfId="4" type="firstRowStripe"/>
      <tableStyleElement dxfId="5" type="secondRowStripe"/>
    </tableStyle>
    <tableStyle count="3" pivot="0" name="Relatório-style">
      <tableStyleElement dxfId="6" type="headerRow"/>
      <tableStyleElement dxfId="4" type="firstRowStripe"/>
      <tableStyleElement dxfId="7" type="secondRowStripe"/>
    </tableStyle>
    <tableStyle count="3" pivot="0" name="Gráfico-style">
      <tableStyleElement dxfId="8" type="headerRow"/>
      <tableStyleElement dxfId="4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Qual a liberação de crédito divida pela renda mensal dos inadimplentes?</a:t>
            </a:r>
          </a:p>
        </c:rich>
      </c:tx>
      <c:overlay val="0"/>
    </c:title>
    <c:plotArea>
      <c:layout>
        <c:manualLayout>
          <c:xMode val="edge"/>
          <c:yMode val="edge"/>
          <c:x val="0.24536256323777403"/>
          <c:y val="0.2875914742319001"/>
          <c:w val="0.715008431703204"/>
          <c:h val="0.5976603243292512"/>
        </c:manualLayout>
      </c:layout>
      <c:barChart>
        <c:barDir val="bar"/>
        <c:grouping val="percentStacked"/>
        <c:ser>
          <c:idx val="0"/>
          <c:order val="0"/>
          <c:tx>
            <c:strRef>
              <c:f>'Gráfico'!$D$1:$D$2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'Gráfico'!$A$3:$A$5</c:f>
            </c:strRef>
          </c:cat>
          <c:val>
            <c:numRef>
              <c:f>'Gráfico'!$D$3:$D$5</c:f>
              <c:numCache/>
            </c:numRef>
          </c:val>
        </c:ser>
        <c:ser>
          <c:idx val="1"/>
          <c:order val="1"/>
          <c:tx>
            <c:strRef>
              <c:f>'Gráfico'!$E$1:$E$2</c:f>
            </c:strRef>
          </c:tx>
          <c:spPr>
            <a:solidFill>
              <a:srgbClr val="94D67A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'Gráfico'!$A$3:$A$5</c:f>
            </c:strRef>
          </c:cat>
          <c:val>
            <c:numRef>
              <c:f>'Gráfico'!$E$3:$E$5</c:f>
              <c:numCache/>
            </c:numRef>
          </c:val>
        </c:ser>
        <c:overlap val="100"/>
        <c:axId val="1460603386"/>
        <c:axId val="2109665797"/>
      </c:barChart>
      <c:catAx>
        <c:axId val="14606033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9665797"/>
      </c:catAx>
      <c:valAx>
        <c:axId val="21096657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0603386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866775</xdr:colOff>
      <xdr:row>6</xdr:row>
      <xdr:rowOff>95250</xdr:rowOff>
    </xdr:from>
    <xdr:ext cx="6000750" cy="2552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03" displayName="Table_1" name="Table_1" id="1">
  <tableColumns count="13">
    <tableColumn name="status" id="1"/>
    <tableColumn name="nome" id="2"/>
    <tableColumn name="cpf" id="3"/>
    <tableColumn name="idade" id="4"/>
    <tableColumn name="data_nascimento" id="5"/>
    <tableColumn name="cidade" id="6"/>
    <tableColumn name="regiao" id="7"/>
    <tableColumn name="renda_mensal" id="8"/>
    <tableColumn name="credito_tomado" id="9"/>
    <tableColumn name="flag_inadimplente" id="10"/>
    <tableColumn name="qtde_batalhas" id="11"/>
    <tableColumn name="nivel_risco" id="12"/>
    <tableColumn name="valor_solicitado" id="13"/>
  </tableColumns>
  <tableStyleInfo name="Original_SemLimpeza-style" showColumnStripes="0" showFirstColumn="1" showLastColumn="1" showRowStripes="1"/>
</table>
</file>

<file path=xl/tables/table2.xml><?xml version="1.0" encoding="utf-8"?>
<table xmlns="http://schemas.openxmlformats.org/spreadsheetml/2006/main" ref="B2:E6" displayName="Table_3" name="Table_3" id="3">
  <tableColumns count="4">
    <tableColumn name="inadimplentes" id="1"/>
    <tableColumn name="créditos_negados" id="2"/>
    <tableColumn name="percentual_negado" id="3"/>
    <tableColumn name="percentual_aprovado" id="4"/>
  </tableColumns>
  <tableStyleInfo name="Gráfico-style" showColumnStripes="0" showFirstColumn="1" showLastColumn="1" showRowStripes="1"/>
</table>
</file>

<file path=xl/tables/table3.xml><?xml version="1.0" encoding="utf-8"?>
<table xmlns="http://schemas.openxmlformats.org/spreadsheetml/2006/main" ref="A1:G14" displayName="Table_2" name="Table_2" id="2">
  <tableColumns count="7">
    <tableColumn name="Coluna analisada" id="1"/>
    <tableColumn name="Problema encontrado" id="2"/>
    <tableColumn name="Exemplo encontrado" id="3"/>
    <tableColumn name="Tipo do problema" id="4"/>
    <tableColumn name="Ação realizada" id="5"/>
    <tableColumn name="Resultado esperado" id="6"/>
    <tableColumn name="Decisão" id="7"/>
  </tableColumns>
  <tableStyleInfo name="Relató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5.5"/>
    <col customWidth="1" min="4" max="4" width="19.0"/>
    <col customWidth="1" min="5" max="5" width="14.0"/>
  </cols>
  <sheetData>
    <row r="1">
      <c r="A1" s="2" t="s">
        <v>3</v>
      </c>
    </row>
    <row r="2">
      <c r="A2" s="4" t="s">
        <v>4</v>
      </c>
      <c r="B2" s="4" t="s">
        <v>6</v>
      </c>
      <c r="C2" s="4" t="s">
        <v>7</v>
      </c>
      <c r="D2" s="4" t="s">
        <v>8</v>
      </c>
      <c r="E2" s="4" t="s">
        <v>10</v>
      </c>
    </row>
    <row r="3">
      <c r="A3" s="7">
        <v>1.0</v>
      </c>
      <c r="B3" s="7" t="s">
        <v>23</v>
      </c>
      <c r="C3" s="7" t="s">
        <v>24</v>
      </c>
      <c r="D3" s="11">
        <v>3.0</v>
      </c>
      <c r="E3" s="7">
        <v>10.0</v>
      </c>
    </row>
    <row r="4">
      <c r="A4" s="13">
        <v>2.0</v>
      </c>
      <c r="B4" s="13" t="s">
        <v>23</v>
      </c>
      <c r="C4" s="13" t="s">
        <v>24</v>
      </c>
      <c r="D4" s="14">
        <v>29.0</v>
      </c>
      <c r="E4" s="13">
        <v>20.0</v>
      </c>
    </row>
    <row r="5">
      <c r="A5" s="7">
        <v>3.0</v>
      </c>
      <c r="B5" s="7" t="s">
        <v>34</v>
      </c>
      <c r="C5" s="7" t="s">
        <v>35</v>
      </c>
      <c r="D5" s="11">
        <v>3.0</v>
      </c>
      <c r="E5" s="7">
        <v>30.0</v>
      </c>
    </row>
    <row r="6">
      <c r="A6" s="13">
        <v>4.0</v>
      </c>
      <c r="B6" s="13" t="s">
        <v>36</v>
      </c>
      <c r="C6" s="13" t="s">
        <v>37</v>
      </c>
      <c r="D6" s="14">
        <v>13.0</v>
      </c>
      <c r="E6" s="13">
        <v>40.0</v>
      </c>
    </row>
  </sheetData>
  <autoFilter ref="$A$2:$E$6"/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4" max="4" width="12.88"/>
  </cols>
  <sheetData>
    <row r="1">
      <c r="A1" s="3" t="s">
        <v>1</v>
      </c>
    </row>
    <row r="2">
      <c r="A2" s="5" t="s">
        <v>5</v>
      </c>
      <c r="B2" s="5" t="s">
        <v>9</v>
      </c>
      <c r="C2" s="5" t="s">
        <v>11</v>
      </c>
      <c r="D2" s="5" t="s">
        <v>12</v>
      </c>
    </row>
    <row r="3">
      <c r="A3" s="7" t="s">
        <v>13</v>
      </c>
      <c r="B3" s="7" t="s">
        <v>14</v>
      </c>
      <c r="C3" s="7">
        <v>8.0</v>
      </c>
      <c r="D3" s="12" t="str">
        <f>IF(Ex.excel02!$C$3:$C$8 &gt; 5, "Ótimo",(IF(Ex.excel02!$C$3:$C$8&lt; 5, "Péssimo", "Regular")))</f>
        <v>Ótimo</v>
      </c>
    </row>
    <row r="4">
      <c r="A4" s="15" t="s">
        <v>33</v>
      </c>
      <c r="B4" s="15" t="s">
        <v>38</v>
      </c>
      <c r="C4" s="15">
        <v>5.0</v>
      </c>
      <c r="D4" s="18" t="str">
        <f>IF(Ex.excel02!$C$3:$C$8 &gt; 5, "Ótimo",(IF(Ex.excel02!$C$3:$C$8&lt; 5, "Péssimo", "Regular")))</f>
        <v>Regular</v>
      </c>
    </row>
    <row r="5">
      <c r="A5" s="7" t="s">
        <v>43</v>
      </c>
      <c r="B5" s="7" t="s">
        <v>44</v>
      </c>
      <c r="C5" s="7">
        <v>9.0</v>
      </c>
      <c r="D5" s="12" t="str">
        <f>IF(Ex.excel02!$C$3:$C$8 &gt; 5, "Ótimo",(IF(Ex.excel02!$C$3:$C$8&lt; 5, "Péssimo", "Regular")))</f>
        <v>Ótimo</v>
      </c>
    </row>
    <row r="6">
      <c r="A6" s="15" t="s">
        <v>47</v>
      </c>
      <c r="B6" s="15" t="s">
        <v>48</v>
      </c>
      <c r="C6" s="15">
        <v>4.0</v>
      </c>
      <c r="D6" s="18" t="str">
        <f>IF(Ex.excel02!$C$3:$C$8 &gt; 5, "Ótimo",(IF(Ex.excel02!$C$3:$C$8&lt; 5, "Péssimo", "Regular")))</f>
        <v>Péssimo</v>
      </c>
    </row>
    <row r="7">
      <c r="A7" s="7" t="s">
        <v>50</v>
      </c>
      <c r="B7" s="7" t="s">
        <v>51</v>
      </c>
      <c r="C7" s="7">
        <v>6.0</v>
      </c>
      <c r="D7" s="12" t="str">
        <f>IF(Ex.excel02!$C$3:$C$8 &gt; 5, "Ótimo",(IF(Ex.excel02!$C$3:$C$8&lt; 5, "Péssimo", "Regular")))</f>
        <v>Ótimo</v>
      </c>
    </row>
    <row r="8">
      <c r="A8" s="15" t="s">
        <v>53</v>
      </c>
      <c r="B8" s="15" t="s">
        <v>54</v>
      </c>
      <c r="C8" s="15">
        <v>3.0</v>
      </c>
      <c r="D8" s="18" t="str">
        <f>IF(Ex.excel02!$C$3:$C$8 &gt; 5, "Ótimo",(IF(Ex.excel02!$C$3:$C$8&lt; 5, "Péssimo", "Regular")))</f>
        <v>Péssimo</v>
      </c>
    </row>
  </sheetData>
  <autoFilter ref="$A$2:$D$8"/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4" width="18.0"/>
    <col customWidth="1" min="5" max="5" width="17.75"/>
    <col customWidth="1" min="6" max="6" width="14.0"/>
    <col customWidth="1" min="7" max="7" width="12.88"/>
  </cols>
  <sheetData>
    <row r="1">
      <c r="A1" s="6" t="s">
        <v>0</v>
      </c>
    </row>
    <row r="2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12</v>
      </c>
    </row>
    <row r="3">
      <c r="A3" s="7">
        <v>2001.0</v>
      </c>
      <c r="B3" s="7" t="s">
        <v>21</v>
      </c>
      <c r="C3" s="7">
        <v>5.0</v>
      </c>
      <c r="D3" s="7">
        <v>6.0</v>
      </c>
      <c r="E3" s="7">
        <v>8.0</v>
      </c>
      <c r="F3" s="10">
        <f t="shared" ref="F3:F7" si="1">AVERAGE(C3:E3)</f>
        <v>6.333333333</v>
      </c>
      <c r="G3" s="12" t="str">
        <f>IF(Ex.excel03!$F$3:$F$7&gt;= 6, "Aprovado", "Reprovado")</f>
        <v>Aprovado</v>
      </c>
    </row>
    <row r="4">
      <c r="A4" s="15">
        <v>2002.0</v>
      </c>
      <c r="B4" s="15" t="s">
        <v>40</v>
      </c>
      <c r="C4" s="15">
        <v>10.0</v>
      </c>
      <c r="D4" s="15">
        <v>7.0</v>
      </c>
      <c r="E4" s="15">
        <v>8.0</v>
      </c>
      <c r="F4" s="17">
        <f t="shared" si="1"/>
        <v>8.333333333</v>
      </c>
      <c r="G4" s="18" t="str">
        <f>IF(Ex.excel03!$F$3:$F$7&gt;= 6, "Aprovado", "Reprovado")</f>
        <v>Aprovado</v>
      </c>
    </row>
    <row r="5">
      <c r="A5" s="7">
        <v>2003.0</v>
      </c>
      <c r="B5" s="7" t="s">
        <v>41</v>
      </c>
      <c r="C5" s="7">
        <v>5.0</v>
      </c>
      <c r="D5" s="7">
        <v>2.0</v>
      </c>
      <c r="E5" s="7">
        <v>8.0</v>
      </c>
      <c r="F5" s="10">
        <f t="shared" si="1"/>
        <v>5</v>
      </c>
      <c r="G5" s="12" t="str">
        <f>IF(Ex.excel03!$F$3:$F$7&gt;= 6, "Aprovado", "Reprovado")</f>
        <v>Reprovado</v>
      </c>
    </row>
    <row r="6">
      <c r="A6" s="15">
        <v>2004.0</v>
      </c>
      <c r="B6" s="15" t="s">
        <v>45</v>
      </c>
      <c r="C6" s="15">
        <v>2.0</v>
      </c>
      <c r="D6" s="15">
        <v>1.0</v>
      </c>
      <c r="E6" s="15">
        <v>3.0</v>
      </c>
      <c r="F6" s="17">
        <f t="shared" si="1"/>
        <v>2</v>
      </c>
      <c r="G6" s="18" t="str">
        <f>IF(Ex.excel03!$F$3:$F$7&gt;= 6, "Aprovado", "Reprovado")</f>
        <v>Reprovado</v>
      </c>
    </row>
    <row r="7">
      <c r="A7" s="7">
        <v>2005.0</v>
      </c>
      <c r="B7" s="7" t="s">
        <v>49</v>
      </c>
      <c r="C7" s="7">
        <v>4.0</v>
      </c>
      <c r="D7" s="7">
        <v>7.0</v>
      </c>
      <c r="E7" s="7">
        <v>8.0</v>
      </c>
      <c r="F7" s="10">
        <f t="shared" si="1"/>
        <v>6.333333333</v>
      </c>
      <c r="G7" s="12" t="str">
        <f>IF(Ex.excel03!$F$3:$F$7&gt;= 6, "Aprovado", "Reprovado")</f>
        <v>Aprovado</v>
      </c>
    </row>
  </sheetData>
  <autoFilter ref="$A$2:$G$7"/>
  <mergeCells count="1">
    <mergeCell ref="A1:G1"/>
  </mergeCells>
  <conditionalFormatting sqref="C3:G7">
    <cfRule type="cellIs" dxfId="1" priority="1" operator="greaterThanOrEqual">
      <formula>6</formula>
    </cfRule>
  </conditionalFormatting>
  <conditionalFormatting sqref="C3:G7">
    <cfRule type="cellIs" dxfId="2" priority="2" operator="lessThan">
      <formula>6</formula>
    </cfRule>
  </conditionalFormatting>
  <conditionalFormatting sqref="G3:G7">
    <cfRule type="beginsWith" dxfId="1" priority="3" operator="beginsWith" text="A">
      <formula>LEFT((G3),LEN("A"))=("A")</formula>
    </cfRule>
  </conditionalFormatting>
  <conditionalFormatting sqref="G3:G7">
    <cfRule type="beginsWith" dxfId="2" priority="4" operator="beginsWith" text="R">
      <formula>LEFT((G3),LEN("R"))=("R")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3" max="3" width="15.5"/>
    <col customWidth="1" min="4" max="4" width="16.13"/>
    <col customWidth="1" min="5" max="6" width="26.38"/>
  </cols>
  <sheetData>
    <row r="1">
      <c r="A1" s="1" t="s">
        <v>2</v>
      </c>
      <c r="G1" s="8"/>
    </row>
    <row r="2">
      <c r="A2" s="9" t="s">
        <v>22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</row>
    <row r="3">
      <c r="A3" s="7" t="s">
        <v>30</v>
      </c>
      <c r="B3" s="7">
        <v>17.0</v>
      </c>
      <c r="C3" s="7" t="s">
        <v>31</v>
      </c>
      <c r="D3" s="7" t="s">
        <v>32</v>
      </c>
      <c r="E3" s="7">
        <v>1.0</v>
      </c>
      <c r="F3" s="7" t="str">
        <f>IF(AND(Ex.excel04!$B$3:$B$7&gt;=18,Ex.excel04!$C$3:$C$7, Ex.excel04!$D$3:$D$7 = "Sim", Ex.excel04!$E$3:$E$7 &gt;=3), "Apto", "Não Apto") </f>
        <v>Não Apto</v>
      </c>
    </row>
    <row r="4">
      <c r="A4" s="16" t="s">
        <v>39</v>
      </c>
      <c r="B4" s="16">
        <v>24.0</v>
      </c>
      <c r="C4" s="16" t="s">
        <v>32</v>
      </c>
      <c r="D4" s="16" t="s">
        <v>32</v>
      </c>
      <c r="E4" s="16">
        <v>3.0</v>
      </c>
      <c r="F4" s="16" t="str">
        <f>IF(AND(Ex.excel04!$B$3:$B$7&gt;=18,Ex.excel04!$C$3:$C$7, Ex.excel04!$D$3:$D$7 = "Sim", Ex.excel04!$E$3:$E$7 &gt;=3), "Apto", "Não Apto") </f>
        <v>Apto</v>
      </c>
    </row>
    <row r="5">
      <c r="A5" s="7" t="s">
        <v>42</v>
      </c>
      <c r="B5" s="7">
        <v>28.0</v>
      </c>
      <c r="C5" s="7" t="s">
        <v>32</v>
      </c>
      <c r="D5" s="7" t="s">
        <v>32</v>
      </c>
      <c r="E5" s="7">
        <v>4.0</v>
      </c>
      <c r="F5" s="7" t="str">
        <f>IF(AND(Ex.excel04!$B$3:$B$7&gt;=18,Ex.excel04!$C$3:$C$7, Ex.excel04!$D$3:$D$7 = "Sim", Ex.excel04!$E$3:$E$7 &gt;=3), "Apto", "Não Apto") </f>
        <v>Apto</v>
      </c>
    </row>
    <row r="6">
      <c r="A6" s="16" t="s">
        <v>46</v>
      </c>
      <c r="B6" s="16">
        <v>18.0</v>
      </c>
      <c r="C6" s="16" t="s">
        <v>32</v>
      </c>
      <c r="D6" s="16" t="s">
        <v>31</v>
      </c>
      <c r="E6" s="16">
        <v>1.0</v>
      </c>
      <c r="F6" s="16" t="str">
        <f>IF(AND(Ex.excel04!$B$3:$B$7&gt;=18,Ex.excel04!$C$3:$C$7, Ex.excel04!$D$3:$D$7 = "Sim", Ex.excel04!$E$3:$E$7 &gt;=3), "Apto", "Não Apto") </f>
        <v>Não Apto</v>
      </c>
    </row>
    <row r="7">
      <c r="A7" s="7" t="s">
        <v>52</v>
      </c>
      <c r="B7" s="7">
        <v>22.0</v>
      </c>
      <c r="C7" s="7" t="s">
        <v>32</v>
      </c>
      <c r="D7" s="7" t="s">
        <v>32</v>
      </c>
      <c r="E7" s="7">
        <v>2.0</v>
      </c>
      <c r="F7" s="7" t="str">
        <f>IF(AND(Ex.excel04!$B$3:$B$7&gt;=18,Ex.excel04!$C$3:$C$7, Ex.excel04!$D$3:$D$7 = "Sim", Ex.excel04!$E$3:$E$7 &gt;=3), "Apto", "Não Apto") </f>
        <v>Não Apto</v>
      </c>
    </row>
  </sheetData>
  <autoFilter ref="$A$2:$F$7"/>
  <mergeCells count="1">
    <mergeCell ref="A1:F1"/>
  </mergeCells>
  <conditionalFormatting sqref="F3:F7">
    <cfRule type="beginsWith" dxfId="1" priority="1" operator="beginsWith" text="A">
      <formula>LEFT((F3),LEN("A"))=("A")</formula>
    </cfRule>
  </conditionalFormatting>
  <conditionalFormatting sqref="F3:F7">
    <cfRule type="beginsWith" dxfId="2" priority="2" operator="beginsWith" text="N">
      <formula>LEFT((F3),LEN("N"))=("N")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2.5"/>
    <col customWidth="1" min="3" max="3" width="12.63"/>
    <col customWidth="1" min="4" max="4" width="7.88"/>
    <col customWidth="1" min="5" max="5" width="17.13"/>
    <col customWidth="1" min="6" max="7" width="27.13"/>
    <col customWidth="1" min="8" max="8" width="17.5"/>
    <col customWidth="1" min="9" max="9" width="16.0"/>
    <col customWidth="1" min="10" max="10" width="17.63"/>
    <col customWidth="1" min="11" max="11" width="14.75"/>
    <col customWidth="1" min="12" max="12" width="12.25"/>
    <col customWidth="1" min="13" max="15" width="16.25"/>
    <col customWidth="1" min="16" max="16" width="20.75"/>
    <col customWidth="1" hidden="1" min="17" max="17" width="20.75"/>
  </cols>
  <sheetData>
    <row r="1">
      <c r="A1" s="19" t="s">
        <v>55</v>
      </c>
      <c r="B1" s="19" t="s">
        <v>56</v>
      </c>
      <c r="C1" s="20" t="s">
        <v>57</v>
      </c>
      <c r="D1" s="21" t="s">
        <v>58</v>
      </c>
      <c r="E1" s="21" t="s">
        <v>59</v>
      </c>
      <c r="F1" s="19" t="s">
        <v>60</v>
      </c>
      <c r="G1" s="19" t="s">
        <v>61</v>
      </c>
      <c r="H1" s="22" t="s">
        <v>62</v>
      </c>
      <c r="I1" s="22" t="s">
        <v>63</v>
      </c>
      <c r="J1" s="23" t="s">
        <v>64</v>
      </c>
      <c r="K1" s="23" t="s">
        <v>65</v>
      </c>
      <c r="L1" s="19" t="s">
        <v>66</v>
      </c>
      <c r="M1" s="24" t="s">
        <v>67</v>
      </c>
      <c r="N1" s="24" t="s">
        <v>68</v>
      </c>
      <c r="O1" s="25" t="s">
        <v>69</v>
      </c>
      <c r="P1" s="23" t="s">
        <v>70</v>
      </c>
      <c r="Q1" s="19"/>
    </row>
    <row r="2">
      <c r="A2" s="26" t="s">
        <v>71</v>
      </c>
      <c r="B2" s="26" t="s">
        <v>72</v>
      </c>
      <c r="C2" s="27" t="s">
        <v>73</v>
      </c>
      <c r="D2" s="28">
        <v>32.0</v>
      </c>
      <c r="E2" s="29">
        <v>34347.0</v>
      </c>
      <c r="F2" s="26" t="s">
        <v>74</v>
      </c>
      <c r="G2" s="26" t="s">
        <v>75</v>
      </c>
      <c r="H2" s="30">
        <v>15600.0</v>
      </c>
      <c r="I2" s="30">
        <v>0.0</v>
      </c>
      <c r="J2" s="28" t="s">
        <v>32</v>
      </c>
      <c r="K2" s="28">
        <v>34.0</v>
      </c>
      <c r="L2" s="26" t="str">
        <f t="shared" ref="L2:L402" si="1">IFS(K2&lt;=10,"Baixo",K2&lt;=25, "Médio", K2&gt;25, "Alto")</f>
        <v>Alto</v>
      </c>
      <c r="M2" s="31" t="str">
        <f t="shared" ref="M2:M402" si="2">IF(AND(J2="Sim", L2="Alto"),"Negado","Aceito")</f>
        <v>Negado</v>
      </c>
      <c r="N2" s="31" t="str">
        <f t="shared" ref="N2:N402" si="3">IF(AND(I2&gt; 50000, J2 = "Sim"),"Negativa", "Positiva")</f>
        <v>Positiva</v>
      </c>
      <c r="O2" s="32">
        <v>16000.0</v>
      </c>
      <c r="P2" s="32">
        <f t="shared" ref="P2:P402" si="4">IF(AND(Q2=1,A2="Ativo"), O2*1.08, 0)</f>
        <v>17280</v>
      </c>
      <c r="Q2" s="26">
        <f t="shared" ref="Q2:Q402" si="5">IF(AND(M2="Negado", N2="Negativa"),0,1)</f>
        <v>1</v>
      </c>
    </row>
    <row r="3">
      <c r="A3" s="33" t="s">
        <v>76</v>
      </c>
      <c r="B3" s="33" t="s">
        <v>77</v>
      </c>
      <c r="C3" s="34">
        <v>36100.0</v>
      </c>
      <c r="D3" s="35">
        <v>24.0</v>
      </c>
      <c r="E3" s="36">
        <v>37313.0</v>
      </c>
      <c r="F3" s="33" t="s">
        <v>78</v>
      </c>
      <c r="G3" s="33" t="s">
        <v>79</v>
      </c>
      <c r="H3" s="37">
        <v>11000.0</v>
      </c>
      <c r="I3" s="37">
        <v>76500.0</v>
      </c>
      <c r="J3" s="35" t="s">
        <v>32</v>
      </c>
      <c r="K3" s="35">
        <v>33.0</v>
      </c>
      <c r="L3" s="33" t="str">
        <f t="shared" si="1"/>
        <v>Alto</v>
      </c>
      <c r="M3" s="38" t="str">
        <f t="shared" si="2"/>
        <v>Negado</v>
      </c>
      <c r="N3" s="38" t="str">
        <f t="shared" si="3"/>
        <v>Negativa</v>
      </c>
      <c r="O3" s="39">
        <v>26000.0</v>
      </c>
      <c r="P3" s="35">
        <f t="shared" si="4"/>
        <v>0</v>
      </c>
      <c r="Q3" s="33">
        <f t="shared" si="5"/>
        <v>0</v>
      </c>
    </row>
    <row r="4">
      <c r="A4" s="26" t="s">
        <v>71</v>
      </c>
      <c r="B4" s="26" t="s">
        <v>80</v>
      </c>
      <c r="C4" s="27" t="s">
        <v>81</v>
      </c>
      <c r="D4" s="28">
        <v>33.0</v>
      </c>
      <c r="E4" s="29">
        <v>34144.0</v>
      </c>
      <c r="F4" s="26" t="s">
        <v>82</v>
      </c>
      <c r="G4" s="26" t="s">
        <v>83</v>
      </c>
      <c r="H4" s="30">
        <v>21500.0</v>
      </c>
      <c r="I4" s="30" t="s">
        <v>84</v>
      </c>
      <c r="J4" s="28" t="s">
        <v>31</v>
      </c>
      <c r="K4" s="28">
        <v>22.0</v>
      </c>
      <c r="L4" s="26" t="str">
        <f t="shared" si="1"/>
        <v>Médio</v>
      </c>
      <c r="M4" s="31" t="str">
        <f t="shared" si="2"/>
        <v>Aceito</v>
      </c>
      <c r="N4" s="31" t="str">
        <f t="shared" si="3"/>
        <v>Positiva</v>
      </c>
      <c r="O4" s="32">
        <v>51500.0</v>
      </c>
      <c r="P4" s="32">
        <f t="shared" si="4"/>
        <v>55620</v>
      </c>
      <c r="Q4" s="26">
        <f t="shared" si="5"/>
        <v>1</v>
      </c>
    </row>
    <row r="5">
      <c r="A5" s="33" t="s">
        <v>71</v>
      </c>
      <c r="B5" s="33" t="s">
        <v>85</v>
      </c>
      <c r="C5" s="34" t="s">
        <v>86</v>
      </c>
      <c r="D5" s="35">
        <v>63.0</v>
      </c>
      <c r="E5" s="36">
        <v>23156.0</v>
      </c>
      <c r="F5" s="33" t="s">
        <v>87</v>
      </c>
      <c r="G5" s="33" t="s">
        <v>88</v>
      </c>
      <c r="H5" s="37">
        <v>10400.0</v>
      </c>
      <c r="I5" s="37">
        <v>8500.0</v>
      </c>
      <c r="J5" s="35" t="s">
        <v>31</v>
      </c>
      <c r="K5" s="35">
        <v>39.0</v>
      </c>
      <c r="L5" s="33" t="str">
        <f t="shared" si="1"/>
        <v>Alto</v>
      </c>
      <c r="M5" s="38" t="str">
        <f t="shared" si="2"/>
        <v>Aceito</v>
      </c>
      <c r="N5" s="38" t="str">
        <f t="shared" si="3"/>
        <v>Positiva</v>
      </c>
      <c r="O5" s="39">
        <v>36500.0</v>
      </c>
      <c r="P5" s="39">
        <f t="shared" si="4"/>
        <v>39420</v>
      </c>
      <c r="Q5" s="33">
        <f t="shared" si="5"/>
        <v>1</v>
      </c>
    </row>
    <row r="6">
      <c r="A6" s="26" t="s">
        <v>71</v>
      </c>
      <c r="B6" s="26" t="s">
        <v>89</v>
      </c>
      <c r="C6" s="27" t="s">
        <v>90</v>
      </c>
      <c r="D6" s="28">
        <v>33.0</v>
      </c>
      <c r="E6" s="29">
        <v>34299.0</v>
      </c>
      <c r="F6" s="26" t="s">
        <v>74</v>
      </c>
      <c r="G6" s="26" t="s">
        <v>75</v>
      </c>
      <c r="H6" s="30">
        <v>30000.0</v>
      </c>
      <c r="I6" s="30" t="s">
        <v>84</v>
      </c>
      <c r="J6" s="28" t="s">
        <v>31</v>
      </c>
      <c r="K6" s="28">
        <v>5.0</v>
      </c>
      <c r="L6" s="26" t="str">
        <f t="shared" si="1"/>
        <v>Baixo</v>
      </c>
      <c r="M6" s="31" t="str">
        <f t="shared" si="2"/>
        <v>Aceito</v>
      </c>
      <c r="N6" s="31" t="str">
        <f t="shared" si="3"/>
        <v>Positiva</v>
      </c>
      <c r="O6" s="32">
        <v>65000.0</v>
      </c>
      <c r="P6" s="32">
        <f t="shared" si="4"/>
        <v>70200</v>
      </c>
      <c r="Q6" s="26">
        <f t="shared" si="5"/>
        <v>1</v>
      </c>
    </row>
    <row r="7">
      <c r="A7" s="33" t="s">
        <v>71</v>
      </c>
      <c r="B7" s="33" t="s">
        <v>91</v>
      </c>
      <c r="C7" s="34" t="s">
        <v>92</v>
      </c>
      <c r="D7" s="35">
        <v>48.0</v>
      </c>
      <c r="E7" s="36">
        <v>28647.0</v>
      </c>
      <c r="F7" s="33" t="s">
        <v>93</v>
      </c>
      <c r="G7" s="33" t="s">
        <v>94</v>
      </c>
      <c r="H7" s="37">
        <v>13200.0</v>
      </c>
      <c r="I7" s="37">
        <v>3500.0</v>
      </c>
      <c r="J7" s="35" t="s">
        <v>31</v>
      </c>
      <c r="K7" s="35">
        <v>1.0</v>
      </c>
      <c r="L7" s="33" t="str">
        <f t="shared" si="1"/>
        <v>Baixo</v>
      </c>
      <c r="M7" s="38" t="str">
        <f t="shared" si="2"/>
        <v>Aceito</v>
      </c>
      <c r="N7" s="38" t="str">
        <f t="shared" si="3"/>
        <v>Positiva</v>
      </c>
      <c r="O7" s="39">
        <v>32500.0</v>
      </c>
      <c r="P7" s="39">
        <f t="shared" si="4"/>
        <v>35100</v>
      </c>
      <c r="Q7" s="33">
        <f t="shared" si="5"/>
        <v>1</v>
      </c>
    </row>
    <row r="8">
      <c r="A8" s="26" t="s">
        <v>71</v>
      </c>
      <c r="B8" s="26" t="s">
        <v>95</v>
      </c>
      <c r="C8" s="27" t="s">
        <v>96</v>
      </c>
      <c r="D8" s="28">
        <v>28.0</v>
      </c>
      <c r="E8" s="29">
        <v>35887.0</v>
      </c>
      <c r="F8" s="26" t="s">
        <v>93</v>
      </c>
      <c r="G8" s="26" t="s">
        <v>94</v>
      </c>
      <c r="H8" s="30">
        <v>8600.0</v>
      </c>
      <c r="I8" s="30">
        <v>19000.0</v>
      </c>
      <c r="J8" s="28" t="s">
        <v>32</v>
      </c>
      <c r="K8" s="28">
        <v>4.0</v>
      </c>
      <c r="L8" s="26" t="str">
        <f t="shared" si="1"/>
        <v>Baixo</v>
      </c>
      <c r="M8" s="31" t="str">
        <f t="shared" si="2"/>
        <v>Aceito</v>
      </c>
      <c r="N8" s="31" t="str">
        <f t="shared" si="3"/>
        <v>Positiva</v>
      </c>
      <c r="O8" s="32">
        <v>32500.0</v>
      </c>
      <c r="P8" s="32">
        <f t="shared" si="4"/>
        <v>35100</v>
      </c>
      <c r="Q8" s="26">
        <f t="shared" si="5"/>
        <v>1</v>
      </c>
    </row>
    <row r="9">
      <c r="A9" s="33" t="s">
        <v>76</v>
      </c>
      <c r="B9" s="33" t="s">
        <v>98</v>
      </c>
      <c r="C9" s="34" t="s">
        <v>99</v>
      </c>
      <c r="D9" s="35">
        <v>42.0</v>
      </c>
      <c r="E9" s="36">
        <v>30899.0</v>
      </c>
      <c r="F9" s="33" t="s">
        <v>100</v>
      </c>
      <c r="G9" s="33" t="s">
        <v>88</v>
      </c>
      <c r="H9" s="37">
        <v>18200.0</v>
      </c>
      <c r="I9" s="37">
        <v>31000.0</v>
      </c>
      <c r="J9" s="35" t="s">
        <v>31</v>
      </c>
      <c r="K9" s="35">
        <v>19.0</v>
      </c>
      <c r="L9" s="33" t="str">
        <f t="shared" si="1"/>
        <v>Médio</v>
      </c>
      <c r="M9" s="38" t="str">
        <f t="shared" si="2"/>
        <v>Aceito</v>
      </c>
      <c r="N9" s="38" t="str">
        <f t="shared" si="3"/>
        <v>Positiva</v>
      </c>
      <c r="O9" s="39">
        <v>63500.0</v>
      </c>
      <c r="P9" s="35">
        <f t="shared" si="4"/>
        <v>0</v>
      </c>
      <c r="Q9" s="33">
        <f t="shared" si="5"/>
        <v>1</v>
      </c>
    </row>
    <row r="10">
      <c r="A10" s="26" t="s">
        <v>71</v>
      </c>
      <c r="B10" s="26" t="s">
        <v>105</v>
      </c>
      <c r="C10" s="27" t="s">
        <v>106</v>
      </c>
      <c r="D10" s="28">
        <v>34.0</v>
      </c>
      <c r="E10" s="29">
        <v>33624.0</v>
      </c>
      <c r="F10" s="26" t="s">
        <v>100</v>
      </c>
      <c r="G10" s="26" t="s">
        <v>88</v>
      </c>
      <c r="H10" s="30">
        <v>8000.0</v>
      </c>
      <c r="I10" s="30">
        <v>14.5</v>
      </c>
      <c r="J10" s="28" t="s">
        <v>32</v>
      </c>
      <c r="K10" s="28">
        <v>9.0</v>
      </c>
      <c r="L10" s="26" t="str">
        <f t="shared" si="1"/>
        <v>Baixo</v>
      </c>
      <c r="M10" s="31" t="str">
        <f t="shared" si="2"/>
        <v>Aceito</v>
      </c>
      <c r="N10" s="31" t="str">
        <f t="shared" si="3"/>
        <v>Positiva</v>
      </c>
      <c r="O10" s="32">
        <v>17500.0</v>
      </c>
      <c r="P10" s="32">
        <f t="shared" si="4"/>
        <v>18900</v>
      </c>
      <c r="Q10" s="26">
        <f t="shared" si="5"/>
        <v>1</v>
      </c>
    </row>
    <row r="11">
      <c r="A11" s="33" t="s">
        <v>76</v>
      </c>
      <c r="B11" s="33" t="s">
        <v>112</v>
      </c>
      <c r="C11" s="34" t="s">
        <v>113</v>
      </c>
      <c r="D11" s="35">
        <v>62.0</v>
      </c>
      <c r="E11" s="36">
        <v>23667.0</v>
      </c>
      <c r="F11" s="33" t="s">
        <v>115</v>
      </c>
      <c r="G11" s="33" t="s">
        <v>117</v>
      </c>
      <c r="H11" s="37">
        <v>23000.0</v>
      </c>
      <c r="I11" s="37">
        <v>44500.0</v>
      </c>
      <c r="J11" s="35" t="s">
        <v>32</v>
      </c>
      <c r="K11" s="35">
        <v>32.0</v>
      </c>
      <c r="L11" s="33" t="str">
        <f t="shared" si="1"/>
        <v>Alto</v>
      </c>
      <c r="M11" s="38" t="str">
        <f t="shared" si="2"/>
        <v>Negado</v>
      </c>
      <c r="N11" s="38" t="str">
        <f t="shared" si="3"/>
        <v>Positiva</v>
      </c>
      <c r="O11" s="39">
        <v>2000.0</v>
      </c>
      <c r="P11" s="35">
        <f t="shared" si="4"/>
        <v>0</v>
      </c>
      <c r="Q11" s="33">
        <f t="shared" si="5"/>
        <v>1</v>
      </c>
    </row>
    <row r="12">
      <c r="A12" s="26" t="s">
        <v>71</v>
      </c>
      <c r="B12" s="26" t="s">
        <v>125</v>
      </c>
      <c r="C12" s="27" t="s">
        <v>126</v>
      </c>
      <c r="D12" s="28">
        <v>33.0</v>
      </c>
      <c r="E12" s="29">
        <v>34147.0</v>
      </c>
      <c r="F12" s="26" t="s">
        <v>115</v>
      </c>
      <c r="G12" s="26" t="s">
        <v>117</v>
      </c>
      <c r="H12" s="30">
        <v>28700.0</v>
      </c>
      <c r="I12" s="30">
        <v>12500.0</v>
      </c>
      <c r="J12" s="28" t="s">
        <v>31</v>
      </c>
      <c r="K12" s="28">
        <v>41.0</v>
      </c>
      <c r="L12" s="26" t="str">
        <f t="shared" si="1"/>
        <v>Alto</v>
      </c>
      <c r="M12" s="31" t="str">
        <f t="shared" si="2"/>
        <v>Aceito</v>
      </c>
      <c r="N12" s="31" t="str">
        <f t="shared" si="3"/>
        <v>Positiva</v>
      </c>
      <c r="O12" s="32">
        <v>99500.0</v>
      </c>
      <c r="P12" s="32">
        <f t="shared" si="4"/>
        <v>107460</v>
      </c>
      <c r="Q12" s="26">
        <f t="shared" si="5"/>
        <v>1</v>
      </c>
    </row>
    <row r="13">
      <c r="A13" s="33" t="s">
        <v>71</v>
      </c>
      <c r="B13" s="33" t="s">
        <v>135</v>
      </c>
      <c r="C13" s="34">
        <v>35800.0</v>
      </c>
      <c r="D13" s="35">
        <v>70.0</v>
      </c>
      <c r="E13" s="36">
        <v>20515.0</v>
      </c>
      <c r="F13" s="33" t="s">
        <v>136</v>
      </c>
      <c r="G13" s="33" t="s">
        <v>117</v>
      </c>
      <c r="H13" s="37">
        <v>19500.0</v>
      </c>
      <c r="I13" s="37">
        <v>62000.0</v>
      </c>
      <c r="J13" s="35" t="s">
        <v>32</v>
      </c>
      <c r="K13" s="35">
        <v>45.0</v>
      </c>
      <c r="L13" s="33" t="str">
        <f t="shared" si="1"/>
        <v>Alto</v>
      </c>
      <c r="M13" s="38" t="str">
        <f t="shared" si="2"/>
        <v>Negado</v>
      </c>
      <c r="N13" s="38" t="str">
        <f t="shared" si="3"/>
        <v>Negativa</v>
      </c>
      <c r="O13" s="39">
        <v>35500.0</v>
      </c>
      <c r="P13" s="35">
        <f t="shared" si="4"/>
        <v>0</v>
      </c>
      <c r="Q13" s="33">
        <f t="shared" si="5"/>
        <v>0</v>
      </c>
    </row>
    <row r="14">
      <c r="A14" s="26" t="s">
        <v>71</v>
      </c>
      <c r="B14" s="26" t="s">
        <v>148</v>
      </c>
      <c r="C14" s="27" t="s">
        <v>149</v>
      </c>
      <c r="D14" s="28">
        <v>54.0</v>
      </c>
      <c r="E14" s="29">
        <v>26382.0</v>
      </c>
      <c r="F14" s="26" t="s">
        <v>78</v>
      </c>
      <c r="G14" s="26" t="s">
        <v>79</v>
      </c>
      <c r="H14" s="30">
        <v>22100.0</v>
      </c>
      <c r="I14" s="30">
        <v>37000.0</v>
      </c>
      <c r="J14" s="28" t="s">
        <v>31</v>
      </c>
      <c r="K14" s="28">
        <v>34.0</v>
      </c>
      <c r="L14" s="26" t="str">
        <f t="shared" si="1"/>
        <v>Alto</v>
      </c>
      <c r="M14" s="31" t="str">
        <f t="shared" si="2"/>
        <v>Aceito</v>
      </c>
      <c r="N14" s="31" t="str">
        <f t="shared" si="3"/>
        <v>Positiva</v>
      </c>
      <c r="O14" s="32">
        <v>87000.0</v>
      </c>
      <c r="P14" s="32">
        <f t="shared" si="4"/>
        <v>93960</v>
      </c>
      <c r="Q14" s="26">
        <f t="shared" si="5"/>
        <v>1</v>
      </c>
    </row>
    <row r="15">
      <c r="A15" s="33" t="s">
        <v>71</v>
      </c>
      <c r="B15" s="33" t="s">
        <v>163</v>
      </c>
      <c r="C15" s="34">
        <v>8600.0</v>
      </c>
      <c r="D15" s="35">
        <v>38.0</v>
      </c>
      <c r="E15" s="36">
        <v>32260.0</v>
      </c>
      <c r="F15" s="33" t="s">
        <v>100</v>
      </c>
      <c r="G15" s="33" t="s">
        <v>88</v>
      </c>
      <c r="H15" s="37">
        <v>17600.0</v>
      </c>
      <c r="I15" s="37">
        <v>0.0</v>
      </c>
      <c r="J15" s="35" t="s">
        <v>32</v>
      </c>
      <c r="K15" s="35">
        <v>31.0</v>
      </c>
      <c r="L15" s="33" t="str">
        <f t="shared" si="1"/>
        <v>Alto</v>
      </c>
      <c r="M15" s="38" t="str">
        <f t="shared" si="2"/>
        <v>Negado</v>
      </c>
      <c r="N15" s="38" t="str">
        <f t="shared" si="3"/>
        <v>Positiva</v>
      </c>
      <c r="O15" s="39">
        <v>47500.0</v>
      </c>
      <c r="P15" s="39">
        <f t="shared" si="4"/>
        <v>51300</v>
      </c>
      <c r="Q15" s="33">
        <f t="shared" si="5"/>
        <v>1</v>
      </c>
    </row>
    <row r="16">
      <c r="A16" s="26" t="s">
        <v>76</v>
      </c>
      <c r="B16" s="26" t="s">
        <v>177</v>
      </c>
      <c r="C16" s="27">
        <v>200.0</v>
      </c>
      <c r="D16" s="28">
        <v>56.0</v>
      </c>
      <c r="E16" s="29">
        <v>25892.0</v>
      </c>
      <c r="F16" s="26" t="s">
        <v>78</v>
      </c>
      <c r="G16" s="26" t="s">
        <v>79</v>
      </c>
      <c r="H16" s="30">
        <v>5300.0</v>
      </c>
      <c r="I16" s="30">
        <v>6.5</v>
      </c>
      <c r="J16" s="28" t="s">
        <v>31</v>
      </c>
      <c r="K16" s="28">
        <v>42.0</v>
      </c>
      <c r="L16" s="26" t="str">
        <f t="shared" si="1"/>
        <v>Alto</v>
      </c>
      <c r="M16" s="31" t="str">
        <f t="shared" si="2"/>
        <v>Aceito</v>
      </c>
      <c r="N16" s="31" t="str">
        <f t="shared" si="3"/>
        <v>Positiva</v>
      </c>
      <c r="O16" s="32">
        <v>96000.0</v>
      </c>
      <c r="P16" s="28">
        <f t="shared" si="4"/>
        <v>0</v>
      </c>
      <c r="Q16" s="26">
        <f t="shared" si="5"/>
        <v>1</v>
      </c>
    </row>
    <row r="17">
      <c r="A17" s="33" t="s">
        <v>76</v>
      </c>
      <c r="B17" s="33" t="s">
        <v>189</v>
      </c>
      <c r="C17" s="34" t="s">
        <v>190</v>
      </c>
      <c r="D17" s="35">
        <v>47.0</v>
      </c>
      <c r="E17" s="36">
        <v>29064.0</v>
      </c>
      <c r="F17" s="33" t="s">
        <v>193</v>
      </c>
      <c r="G17" s="33" t="s">
        <v>195</v>
      </c>
      <c r="H17" s="37">
        <v>13300.0</v>
      </c>
      <c r="I17" s="37">
        <v>1000.0</v>
      </c>
      <c r="J17" s="35" t="s">
        <v>32</v>
      </c>
      <c r="K17" s="35">
        <v>24.0</v>
      </c>
      <c r="L17" s="33" t="str">
        <f t="shared" si="1"/>
        <v>Médio</v>
      </c>
      <c r="M17" s="38" t="str">
        <f t="shared" si="2"/>
        <v>Aceito</v>
      </c>
      <c r="N17" s="38" t="str">
        <f t="shared" si="3"/>
        <v>Positiva</v>
      </c>
      <c r="O17" s="39">
        <v>61500.0</v>
      </c>
      <c r="P17" s="35">
        <f t="shared" si="4"/>
        <v>0</v>
      </c>
      <c r="Q17" s="33">
        <f t="shared" si="5"/>
        <v>1</v>
      </c>
    </row>
    <row r="18">
      <c r="A18" s="26" t="s">
        <v>76</v>
      </c>
      <c r="B18" s="26" t="s">
        <v>201</v>
      </c>
      <c r="C18" s="27">
        <v>31800.0</v>
      </c>
      <c r="D18" s="28">
        <v>43.0</v>
      </c>
      <c r="E18" s="29">
        <v>30391.0</v>
      </c>
      <c r="F18" s="26" t="s">
        <v>203</v>
      </c>
      <c r="G18" s="26" t="s">
        <v>205</v>
      </c>
      <c r="H18" s="30">
        <v>7100.0</v>
      </c>
      <c r="I18" s="30">
        <v>5500.0</v>
      </c>
      <c r="J18" s="28" t="s">
        <v>31</v>
      </c>
      <c r="K18" s="28">
        <v>23.0</v>
      </c>
      <c r="L18" s="26" t="str">
        <f t="shared" si="1"/>
        <v>Médio</v>
      </c>
      <c r="M18" s="31" t="str">
        <f t="shared" si="2"/>
        <v>Aceito</v>
      </c>
      <c r="N18" s="31" t="str">
        <f t="shared" si="3"/>
        <v>Positiva</v>
      </c>
      <c r="O18" s="32">
        <v>67000.0</v>
      </c>
      <c r="P18" s="28">
        <f t="shared" si="4"/>
        <v>0</v>
      </c>
      <c r="Q18" s="26">
        <f t="shared" si="5"/>
        <v>1</v>
      </c>
    </row>
    <row r="19">
      <c r="A19" s="33" t="s">
        <v>71</v>
      </c>
      <c r="B19" s="33" t="s">
        <v>213</v>
      </c>
      <c r="C19" s="34" t="s">
        <v>215</v>
      </c>
      <c r="D19" s="35">
        <v>32.0</v>
      </c>
      <c r="E19" s="36">
        <v>34398.0</v>
      </c>
      <c r="F19" s="33" t="s">
        <v>193</v>
      </c>
      <c r="G19" s="33" t="s">
        <v>195</v>
      </c>
      <c r="H19" s="37">
        <v>21300.0</v>
      </c>
      <c r="I19" s="37">
        <v>48000.0</v>
      </c>
      <c r="J19" s="35" t="s">
        <v>31</v>
      </c>
      <c r="K19" s="35">
        <v>11.0</v>
      </c>
      <c r="L19" s="33" t="str">
        <f t="shared" si="1"/>
        <v>Médio</v>
      </c>
      <c r="M19" s="38" t="str">
        <f t="shared" si="2"/>
        <v>Aceito</v>
      </c>
      <c r="N19" s="38" t="str">
        <f t="shared" si="3"/>
        <v>Positiva</v>
      </c>
      <c r="O19" s="39">
        <v>35000.0</v>
      </c>
      <c r="P19" s="39">
        <f t="shared" si="4"/>
        <v>37800</v>
      </c>
      <c r="Q19" s="33">
        <f t="shared" si="5"/>
        <v>1</v>
      </c>
    </row>
    <row r="20">
      <c r="A20" s="26" t="s">
        <v>71</v>
      </c>
      <c r="B20" s="26" t="s">
        <v>219</v>
      </c>
      <c r="C20" s="27">
        <v>22300.0</v>
      </c>
      <c r="D20" s="28">
        <v>26.0</v>
      </c>
      <c r="E20" s="29">
        <v>36536.0</v>
      </c>
      <c r="F20" s="26" t="s">
        <v>221</v>
      </c>
      <c r="G20" s="26" t="s">
        <v>222</v>
      </c>
      <c r="H20" s="30">
        <v>9400.0</v>
      </c>
      <c r="I20" s="30">
        <v>51500.0</v>
      </c>
      <c r="J20" s="28" t="s">
        <v>31</v>
      </c>
      <c r="K20" s="28">
        <v>14.0</v>
      </c>
      <c r="L20" s="26" t="str">
        <f t="shared" si="1"/>
        <v>Médio</v>
      </c>
      <c r="M20" s="31" t="str">
        <f t="shared" si="2"/>
        <v>Aceito</v>
      </c>
      <c r="N20" s="31" t="str">
        <f t="shared" si="3"/>
        <v>Positiva</v>
      </c>
      <c r="O20" s="32">
        <v>29500.0</v>
      </c>
      <c r="P20" s="32">
        <f t="shared" si="4"/>
        <v>31860</v>
      </c>
      <c r="Q20" s="26">
        <f t="shared" si="5"/>
        <v>1</v>
      </c>
    </row>
    <row r="21">
      <c r="A21" s="33" t="s">
        <v>71</v>
      </c>
      <c r="B21" s="33" t="s">
        <v>228</v>
      </c>
      <c r="C21" s="34" t="s">
        <v>229</v>
      </c>
      <c r="D21" s="35">
        <v>23.0</v>
      </c>
      <c r="E21" s="36">
        <v>37627.0</v>
      </c>
      <c r="F21" s="33" t="s">
        <v>193</v>
      </c>
      <c r="G21" s="33" t="s">
        <v>195</v>
      </c>
      <c r="H21" s="37">
        <v>0.0</v>
      </c>
      <c r="I21" s="37">
        <v>69000.0</v>
      </c>
      <c r="J21" s="35" t="s">
        <v>31</v>
      </c>
      <c r="K21" s="35">
        <v>20.0</v>
      </c>
      <c r="L21" s="33" t="str">
        <f t="shared" si="1"/>
        <v>Médio</v>
      </c>
      <c r="M21" s="38" t="str">
        <f t="shared" si="2"/>
        <v>Aceito</v>
      </c>
      <c r="N21" s="38" t="str">
        <f t="shared" si="3"/>
        <v>Positiva</v>
      </c>
      <c r="O21" s="39">
        <v>69000.0</v>
      </c>
      <c r="P21" s="39">
        <f t="shared" si="4"/>
        <v>74520</v>
      </c>
      <c r="Q21" s="33">
        <f t="shared" si="5"/>
        <v>1</v>
      </c>
    </row>
    <row r="22">
      <c r="A22" s="26" t="s">
        <v>76</v>
      </c>
      <c r="B22" s="26" t="s">
        <v>232</v>
      </c>
      <c r="C22" s="27" t="s">
        <v>233</v>
      </c>
      <c r="D22" s="28">
        <v>54.0</v>
      </c>
      <c r="E22" s="29">
        <v>26629.0</v>
      </c>
      <c r="F22" s="26" t="s">
        <v>234</v>
      </c>
      <c r="G22" s="26" t="s">
        <v>205</v>
      </c>
      <c r="H22" s="30">
        <v>16500.0</v>
      </c>
      <c r="I22" s="30">
        <v>4000.0</v>
      </c>
      <c r="J22" s="28" t="s">
        <v>31</v>
      </c>
      <c r="K22" s="28">
        <v>14.0</v>
      </c>
      <c r="L22" s="26" t="str">
        <f t="shared" si="1"/>
        <v>Médio</v>
      </c>
      <c r="M22" s="31" t="str">
        <f t="shared" si="2"/>
        <v>Aceito</v>
      </c>
      <c r="N22" s="31" t="str">
        <f t="shared" si="3"/>
        <v>Positiva</v>
      </c>
      <c r="O22" s="32">
        <v>36000.0</v>
      </c>
      <c r="P22" s="28">
        <f t="shared" si="4"/>
        <v>0</v>
      </c>
      <c r="Q22" s="26">
        <f t="shared" si="5"/>
        <v>1</v>
      </c>
    </row>
    <row r="23">
      <c r="A23" s="33" t="s">
        <v>71</v>
      </c>
      <c r="B23" s="33" t="s">
        <v>238</v>
      </c>
      <c r="C23" s="34" t="s">
        <v>239</v>
      </c>
      <c r="D23" s="35">
        <v>68.0</v>
      </c>
      <c r="E23" s="36">
        <v>21378.0</v>
      </c>
      <c r="F23" s="33" t="s">
        <v>115</v>
      </c>
      <c r="G23" s="33" t="s">
        <v>117</v>
      </c>
      <c r="H23" s="37">
        <v>14300.0</v>
      </c>
      <c r="I23" s="37">
        <v>32500.0</v>
      </c>
      <c r="J23" s="35" t="s">
        <v>32</v>
      </c>
      <c r="K23" s="35">
        <v>15.0</v>
      </c>
      <c r="L23" s="33" t="str">
        <f t="shared" si="1"/>
        <v>Médio</v>
      </c>
      <c r="M23" s="38" t="str">
        <f t="shared" si="2"/>
        <v>Aceito</v>
      </c>
      <c r="N23" s="38" t="str">
        <f t="shared" si="3"/>
        <v>Positiva</v>
      </c>
      <c r="O23" s="39">
        <v>8000.0</v>
      </c>
      <c r="P23" s="39">
        <f t="shared" si="4"/>
        <v>8640</v>
      </c>
      <c r="Q23" s="33">
        <f t="shared" si="5"/>
        <v>1</v>
      </c>
    </row>
    <row r="24">
      <c r="A24" s="26" t="s">
        <v>76</v>
      </c>
      <c r="B24" s="26" t="s">
        <v>243</v>
      </c>
      <c r="C24" s="27" t="s">
        <v>241</v>
      </c>
      <c r="D24" s="28">
        <v>33.0</v>
      </c>
      <c r="E24" s="29">
        <v>34082.0</v>
      </c>
      <c r="F24" s="26" t="s">
        <v>115</v>
      </c>
      <c r="G24" s="26" t="s">
        <v>117</v>
      </c>
      <c r="H24" s="30">
        <v>23600.0</v>
      </c>
      <c r="I24" s="30">
        <v>75.5</v>
      </c>
      <c r="J24" s="28" t="s">
        <v>31</v>
      </c>
      <c r="K24" s="28">
        <v>16.0</v>
      </c>
      <c r="L24" s="26" t="str">
        <f t="shared" si="1"/>
        <v>Médio</v>
      </c>
      <c r="M24" s="31" t="str">
        <f t="shared" si="2"/>
        <v>Aceito</v>
      </c>
      <c r="N24" s="31" t="str">
        <f t="shared" si="3"/>
        <v>Positiva</v>
      </c>
      <c r="O24" s="32">
        <v>88000.0</v>
      </c>
      <c r="P24" s="28">
        <f t="shared" si="4"/>
        <v>0</v>
      </c>
      <c r="Q24" s="26">
        <f t="shared" si="5"/>
        <v>1</v>
      </c>
    </row>
    <row r="25">
      <c r="A25" s="33" t="s">
        <v>71</v>
      </c>
      <c r="B25" s="33" t="s">
        <v>244</v>
      </c>
      <c r="C25" s="34" t="s">
        <v>245</v>
      </c>
      <c r="D25" s="35">
        <v>69.0</v>
      </c>
      <c r="E25" s="36">
        <v>21145.0</v>
      </c>
      <c r="F25" s="33" t="s">
        <v>246</v>
      </c>
      <c r="G25" s="33" t="s">
        <v>205</v>
      </c>
      <c r="H25" s="37">
        <v>29000.0</v>
      </c>
      <c r="I25" s="37">
        <v>67500.0</v>
      </c>
      <c r="J25" s="35" t="s">
        <v>31</v>
      </c>
      <c r="K25" s="35">
        <v>25.0</v>
      </c>
      <c r="L25" s="33" t="str">
        <f t="shared" si="1"/>
        <v>Médio</v>
      </c>
      <c r="M25" s="38" t="str">
        <f t="shared" si="2"/>
        <v>Aceito</v>
      </c>
      <c r="N25" s="38" t="str">
        <f t="shared" si="3"/>
        <v>Positiva</v>
      </c>
      <c r="O25" s="39">
        <v>18000.0</v>
      </c>
      <c r="P25" s="39">
        <f t="shared" si="4"/>
        <v>19440</v>
      </c>
      <c r="Q25" s="33">
        <f t="shared" si="5"/>
        <v>1</v>
      </c>
    </row>
    <row r="26">
      <c r="A26" s="26" t="s">
        <v>76</v>
      </c>
      <c r="B26" s="26" t="s">
        <v>247</v>
      </c>
      <c r="C26" s="27" t="s">
        <v>248</v>
      </c>
      <c r="D26" s="28">
        <v>63.0</v>
      </c>
      <c r="E26" s="29">
        <v>23140.0</v>
      </c>
      <c r="F26" s="26" t="s">
        <v>82</v>
      </c>
      <c r="G26" s="26" t="s">
        <v>83</v>
      </c>
      <c r="H26" s="30">
        <v>0.0</v>
      </c>
      <c r="I26" s="30">
        <v>0.0</v>
      </c>
      <c r="J26" s="28" t="s">
        <v>32</v>
      </c>
      <c r="K26" s="28">
        <v>1.0</v>
      </c>
      <c r="L26" s="26" t="str">
        <f t="shared" si="1"/>
        <v>Baixo</v>
      </c>
      <c r="M26" s="31" t="str">
        <f t="shared" si="2"/>
        <v>Aceito</v>
      </c>
      <c r="N26" s="31" t="str">
        <f t="shared" si="3"/>
        <v>Positiva</v>
      </c>
      <c r="O26" s="32">
        <v>12000.0</v>
      </c>
      <c r="P26" s="28">
        <f t="shared" si="4"/>
        <v>0</v>
      </c>
      <c r="Q26" s="26">
        <f t="shared" si="5"/>
        <v>1</v>
      </c>
    </row>
    <row r="27">
      <c r="A27" s="33" t="s">
        <v>71</v>
      </c>
      <c r="B27" s="33" t="s">
        <v>251</v>
      </c>
      <c r="C27" s="34" t="s">
        <v>252</v>
      </c>
      <c r="D27" s="35">
        <v>58.0</v>
      </c>
      <c r="E27" s="36">
        <v>24911.0</v>
      </c>
      <c r="F27" s="33" t="s">
        <v>253</v>
      </c>
      <c r="G27" s="33" t="s">
        <v>195</v>
      </c>
      <c r="H27" s="37">
        <v>25400.0</v>
      </c>
      <c r="I27" s="37">
        <v>70500.0</v>
      </c>
      <c r="J27" s="35" t="s">
        <v>32</v>
      </c>
      <c r="K27" s="35">
        <v>11.0</v>
      </c>
      <c r="L27" s="33" t="str">
        <f t="shared" si="1"/>
        <v>Médio</v>
      </c>
      <c r="M27" s="38" t="str">
        <f t="shared" si="2"/>
        <v>Aceito</v>
      </c>
      <c r="N27" s="38" t="str">
        <f t="shared" si="3"/>
        <v>Negativa</v>
      </c>
      <c r="O27" s="39">
        <v>47000.0</v>
      </c>
      <c r="P27" s="39">
        <f t="shared" si="4"/>
        <v>50760</v>
      </c>
      <c r="Q27" s="33">
        <f t="shared" si="5"/>
        <v>1</v>
      </c>
    </row>
    <row r="28">
      <c r="A28" s="26" t="s">
        <v>71</v>
      </c>
      <c r="B28" s="26" t="s">
        <v>89</v>
      </c>
      <c r="C28" s="27">
        <v>34300.0</v>
      </c>
      <c r="D28" s="28">
        <v>49.0</v>
      </c>
      <c r="E28" s="29">
        <v>28408.0</v>
      </c>
      <c r="F28" s="26" t="s">
        <v>255</v>
      </c>
      <c r="G28" s="26" t="s">
        <v>205</v>
      </c>
      <c r="H28" s="30">
        <v>13300.0</v>
      </c>
      <c r="I28" s="30">
        <v>42000.0</v>
      </c>
      <c r="J28" s="28" t="s">
        <v>32</v>
      </c>
      <c r="K28" s="28">
        <v>27.0</v>
      </c>
      <c r="L28" s="26" t="str">
        <f t="shared" si="1"/>
        <v>Alto</v>
      </c>
      <c r="M28" s="31" t="str">
        <f t="shared" si="2"/>
        <v>Negado</v>
      </c>
      <c r="N28" s="31" t="str">
        <f t="shared" si="3"/>
        <v>Positiva</v>
      </c>
      <c r="O28" s="32">
        <v>40000.0</v>
      </c>
      <c r="P28" s="32">
        <f t="shared" si="4"/>
        <v>43200</v>
      </c>
      <c r="Q28" s="26">
        <f t="shared" si="5"/>
        <v>1</v>
      </c>
    </row>
    <row r="29">
      <c r="A29" s="33" t="s">
        <v>71</v>
      </c>
      <c r="B29" s="33" t="s">
        <v>285</v>
      </c>
      <c r="C29" s="34" t="s">
        <v>257</v>
      </c>
      <c r="D29" s="35">
        <v>30.0</v>
      </c>
      <c r="E29" s="36">
        <v>35323.0</v>
      </c>
      <c r="F29" s="33" t="s">
        <v>258</v>
      </c>
      <c r="G29" s="33" t="s">
        <v>222</v>
      </c>
      <c r="H29" s="37">
        <v>21200.0</v>
      </c>
      <c r="I29" s="37">
        <v>75000.0</v>
      </c>
      <c r="J29" s="35" t="s">
        <v>31</v>
      </c>
      <c r="K29" s="35">
        <v>6.0</v>
      </c>
      <c r="L29" s="33" t="str">
        <f t="shared" si="1"/>
        <v>Baixo</v>
      </c>
      <c r="M29" s="38" t="str">
        <f t="shared" si="2"/>
        <v>Aceito</v>
      </c>
      <c r="N29" s="38" t="str">
        <f t="shared" si="3"/>
        <v>Positiva</v>
      </c>
      <c r="O29" s="39">
        <v>63500.0</v>
      </c>
      <c r="P29" s="39">
        <f t="shared" si="4"/>
        <v>68580</v>
      </c>
      <c r="Q29" s="33">
        <f t="shared" si="5"/>
        <v>1</v>
      </c>
    </row>
    <row r="30">
      <c r="A30" s="26" t="s">
        <v>71</v>
      </c>
      <c r="B30" s="26" t="s">
        <v>260</v>
      </c>
      <c r="C30" s="27" t="s">
        <v>261</v>
      </c>
      <c r="D30" s="28">
        <v>38.0</v>
      </c>
      <c r="E30" s="29">
        <v>32166.0</v>
      </c>
      <c r="F30" s="26" t="s">
        <v>203</v>
      </c>
      <c r="G30" s="26" t="s">
        <v>205</v>
      </c>
      <c r="H30" s="30">
        <v>19500.0</v>
      </c>
      <c r="I30" s="30">
        <v>39000.0</v>
      </c>
      <c r="J30" s="28" t="s">
        <v>31</v>
      </c>
      <c r="K30" s="28">
        <v>25.0</v>
      </c>
      <c r="L30" s="26" t="str">
        <f t="shared" si="1"/>
        <v>Médio</v>
      </c>
      <c r="M30" s="31" t="str">
        <f t="shared" si="2"/>
        <v>Aceito</v>
      </c>
      <c r="N30" s="31" t="str">
        <f t="shared" si="3"/>
        <v>Positiva</v>
      </c>
      <c r="O30" s="32">
        <v>88500.0</v>
      </c>
      <c r="P30" s="32">
        <f t="shared" si="4"/>
        <v>95580</v>
      </c>
      <c r="Q30" s="26">
        <f t="shared" si="5"/>
        <v>1</v>
      </c>
    </row>
    <row r="31">
      <c r="A31" s="33" t="s">
        <v>76</v>
      </c>
      <c r="B31" s="33" t="s">
        <v>263</v>
      </c>
      <c r="C31" s="34" t="s">
        <v>264</v>
      </c>
      <c r="D31" s="35">
        <v>68.0</v>
      </c>
      <c r="E31" s="36">
        <v>21293.0</v>
      </c>
      <c r="F31" s="33" t="s">
        <v>100</v>
      </c>
      <c r="G31" s="33" t="s">
        <v>88</v>
      </c>
      <c r="H31" s="37">
        <v>3800.0</v>
      </c>
      <c r="I31" s="37">
        <v>70000.0</v>
      </c>
      <c r="J31" s="35" t="s">
        <v>32</v>
      </c>
      <c r="K31" s="35">
        <v>34.0</v>
      </c>
      <c r="L31" s="33" t="str">
        <f t="shared" si="1"/>
        <v>Alto</v>
      </c>
      <c r="M31" s="38" t="str">
        <f t="shared" si="2"/>
        <v>Negado</v>
      </c>
      <c r="N31" s="38" t="str">
        <f t="shared" si="3"/>
        <v>Negativa</v>
      </c>
      <c r="O31" s="39">
        <v>7500.0</v>
      </c>
      <c r="P31" s="35">
        <f t="shared" si="4"/>
        <v>0</v>
      </c>
      <c r="Q31" s="33">
        <f t="shared" si="5"/>
        <v>0</v>
      </c>
    </row>
    <row r="32">
      <c r="A32" s="26" t="s">
        <v>71</v>
      </c>
      <c r="B32" s="26" t="s">
        <v>265</v>
      </c>
      <c r="C32" s="27" t="s">
        <v>266</v>
      </c>
      <c r="D32" s="28">
        <v>19.0</v>
      </c>
      <c r="E32" s="29">
        <v>39220.0</v>
      </c>
      <c r="F32" s="26" t="s">
        <v>221</v>
      </c>
      <c r="G32" s="26" t="s">
        <v>222</v>
      </c>
      <c r="H32" s="30">
        <v>18000.0</v>
      </c>
      <c r="I32" s="30">
        <v>50500.0</v>
      </c>
      <c r="J32" s="28" t="s">
        <v>32</v>
      </c>
      <c r="K32" s="28">
        <v>11.0</v>
      </c>
      <c r="L32" s="26" t="str">
        <f t="shared" si="1"/>
        <v>Médio</v>
      </c>
      <c r="M32" s="31" t="str">
        <f t="shared" si="2"/>
        <v>Aceito</v>
      </c>
      <c r="N32" s="31" t="str">
        <f t="shared" si="3"/>
        <v>Negativa</v>
      </c>
      <c r="O32" s="32">
        <v>26000.0</v>
      </c>
      <c r="P32" s="32">
        <f t="shared" si="4"/>
        <v>28080</v>
      </c>
      <c r="Q32" s="26">
        <f t="shared" si="5"/>
        <v>1</v>
      </c>
    </row>
    <row r="33">
      <c r="A33" s="33" t="s">
        <v>71</v>
      </c>
      <c r="B33" s="33" t="s">
        <v>269</v>
      </c>
      <c r="C33" s="34">
        <v>15400.0</v>
      </c>
      <c r="D33" s="35">
        <v>43.0</v>
      </c>
      <c r="E33" s="36">
        <v>30642.0</v>
      </c>
      <c r="F33" s="33" t="s">
        <v>270</v>
      </c>
      <c r="G33" s="33" t="s">
        <v>270</v>
      </c>
      <c r="H33" s="37">
        <v>0.0</v>
      </c>
      <c r="I33" s="37">
        <v>19500.0</v>
      </c>
      <c r="J33" s="35" t="s">
        <v>31</v>
      </c>
      <c r="K33" s="35">
        <v>42.0</v>
      </c>
      <c r="L33" s="33" t="str">
        <f t="shared" si="1"/>
        <v>Alto</v>
      </c>
      <c r="M33" s="38" t="str">
        <f t="shared" si="2"/>
        <v>Aceito</v>
      </c>
      <c r="N33" s="38" t="str">
        <f t="shared" si="3"/>
        <v>Positiva</v>
      </c>
      <c r="O33" s="39">
        <v>89500.0</v>
      </c>
      <c r="P33" s="39">
        <f t="shared" si="4"/>
        <v>96660</v>
      </c>
      <c r="Q33" s="33">
        <f t="shared" si="5"/>
        <v>1</v>
      </c>
    </row>
    <row r="34">
      <c r="A34" s="26" t="s">
        <v>71</v>
      </c>
      <c r="B34" s="26" t="s">
        <v>272</v>
      </c>
      <c r="C34" s="27" t="s">
        <v>273</v>
      </c>
      <c r="D34" s="28">
        <v>27.0</v>
      </c>
      <c r="E34" s="29">
        <v>36319.0</v>
      </c>
      <c r="F34" s="26" t="s">
        <v>78</v>
      </c>
      <c r="G34" s="26" t="s">
        <v>79</v>
      </c>
      <c r="H34" s="30">
        <v>28800.0</v>
      </c>
      <c r="I34" s="30">
        <v>78.5</v>
      </c>
      <c r="J34" s="28" t="s">
        <v>31</v>
      </c>
      <c r="K34" s="28">
        <v>2.0</v>
      </c>
      <c r="L34" s="26" t="str">
        <f t="shared" si="1"/>
        <v>Baixo</v>
      </c>
      <c r="M34" s="31" t="str">
        <f t="shared" si="2"/>
        <v>Aceito</v>
      </c>
      <c r="N34" s="31" t="str">
        <f t="shared" si="3"/>
        <v>Positiva</v>
      </c>
      <c r="O34" s="32">
        <v>53000.0</v>
      </c>
      <c r="P34" s="32">
        <f t="shared" si="4"/>
        <v>57240</v>
      </c>
      <c r="Q34" s="26">
        <f t="shared" si="5"/>
        <v>1</v>
      </c>
    </row>
    <row r="35">
      <c r="A35" s="33" t="s">
        <v>71</v>
      </c>
      <c r="B35" s="33" t="s">
        <v>275</v>
      </c>
      <c r="C35" s="34" t="s">
        <v>276</v>
      </c>
      <c r="D35" s="35">
        <v>42.0</v>
      </c>
      <c r="E35" s="36">
        <v>30878.0</v>
      </c>
      <c r="F35" s="33" t="s">
        <v>100</v>
      </c>
      <c r="G35" s="33" t="s">
        <v>88</v>
      </c>
      <c r="H35" s="37">
        <v>17500.0</v>
      </c>
      <c r="I35" s="37">
        <v>3500.0</v>
      </c>
      <c r="J35" s="35" t="s">
        <v>31</v>
      </c>
      <c r="K35" s="35">
        <v>25.0</v>
      </c>
      <c r="L35" s="33" t="str">
        <f t="shared" si="1"/>
        <v>Médio</v>
      </c>
      <c r="M35" s="38" t="str">
        <f t="shared" si="2"/>
        <v>Aceito</v>
      </c>
      <c r="N35" s="38" t="str">
        <f t="shared" si="3"/>
        <v>Positiva</v>
      </c>
      <c r="O35" s="39">
        <v>35000.0</v>
      </c>
      <c r="P35" s="39">
        <f t="shared" si="4"/>
        <v>37800</v>
      </c>
      <c r="Q35" s="33">
        <f t="shared" si="5"/>
        <v>1</v>
      </c>
    </row>
    <row r="36">
      <c r="A36" s="26" t="s">
        <v>71</v>
      </c>
      <c r="B36" s="26" t="s">
        <v>328</v>
      </c>
      <c r="C36" s="27" t="s">
        <v>279</v>
      </c>
      <c r="D36" s="28">
        <v>44.0</v>
      </c>
      <c r="E36" s="29">
        <v>29975.0</v>
      </c>
      <c r="F36" s="26" t="s">
        <v>93</v>
      </c>
      <c r="G36" s="26" t="s">
        <v>94</v>
      </c>
      <c r="H36" s="30">
        <v>5300.0</v>
      </c>
      <c r="I36" s="30">
        <v>6000.0</v>
      </c>
      <c r="J36" s="28" t="s">
        <v>32</v>
      </c>
      <c r="K36" s="28">
        <v>1.0</v>
      </c>
      <c r="L36" s="26" t="str">
        <f t="shared" si="1"/>
        <v>Baixo</v>
      </c>
      <c r="M36" s="31" t="str">
        <f t="shared" si="2"/>
        <v>Aceito</v>
      </c>
      <c r="N36" s="31" t="str">
        <f t="shared" si="3"/>
        <v>Positiva</v>
      </c>
      <c r="O36" s="32">
        <v>4500.0</v>
      </c>
      <c r="P36" s="32">
        <f t="shared" si="4"/>
        <v>4860</v>
      </c>
      <c r="Q36" s="26">
        <f t="shared" si="5"/>
        <v>1</v>
      </c>
    </row>
    <row r="37">
      <c r="A37" s="33" t="s">
        <v>71</v>
      </c>
      <c r="B37" s="33" t="s">
        <v>281</v>
      </c>
      <c r="C37" s="34" t="s">
        <v>282</v>
      </c>
      <c r="D37" s="35">
        <v>40.0</v>
      </c>
      <c r="E37" s="36">
        <v>31598.0</v>
      </c>
      <c r="F37" s="33" t="s">
        <v>246</v>
      </c>
      <c r="G37" s="33" t="s">
        <v>205</v>
      </c>
      <c r="H37" s="37">
        <v>9900.0</v>
      </c>
      <c r="I37" s="37">
        <v>3500.0</v>
      </c>
      <c r="J37" s="35" t="s">
        <v>31</v>
      </c>
      <c r="K37" s="35">
        <v>1.0</v>
      </c>
      <c r="L37" s="33" t="str">
        <f t="shared" si="1"/>
        <v>Baixo</v>
      </c>
      <c r="M37" s="38" t="str">
        <f t="shared" si="2"/>
        <v>Aceito</v>
      </c>
      <c r="N37" s="38" t="str">
        <f t="shared" si="3"/>
        <v>Positiva</v>
      </c>
      <c r="O37" s="39">
        <v>23500.0</v>
      </c>
      <c r="P37" s="39">
        <f t="shared" si="4"/>
        <v>25380</v>
      </c>
      <c r="Q37" s="33">
        <f t="shared" si="5"/>
        <v>1</v>
      </c>
    </row>
    <row r="38">
      <c r="A38" s="26" t="s">
        <v>71</v>
      </c>
      <c r="B38" s="26" t="s">
        <v>283</v>
      </c>
      <c r="C38" s="27" t="s">
        <v>284</v>
      </c>
      <c r="D38" s="28">
        <v>66.0</v>
      </c>
      <c r="E38" s="29">
        <v>22236.0</v>
      </c>
      <c r="F38" s="26" t="s">
        <v>100</v>
      </c>
      <c r="G38" s="26" t="s">
        <v>88</v>
      </c>
      <c r="H38" s="30">
        <v>23400.0</v>
      </c>
      <c r="I38" s="30">
        <v>28000.0</v>
      </c>
      <c r="J38" s="28" t="s">
        <v>31</v>
      </c>
      <c r="K38" s="28">
        <v>34.0</v>
      </c>
      <c r="L38" s="26" t="str">
        <f t="shared" si="1"/>
        <v>Alto</v>
      </c>
      <c r="M38" s="31" t="str">
        <f t="shared" si="2"/>
        <v>Aceito</v>
      </c>
      <c r="N38" s="31" t="str">
        <f t="shared" si="3"/>
        <v>Positiva</v>
      </c>
      <c r="O38" s="32">
        <v>74000.0</v>
      </c>
      <c r="P38" s="32">
        <f t="shared" si="4"/>
        <v>79920</v>
      </c>
      <c r="Q38" s="26">
        <f t="shared" si="5"/>
        <v>1</v>
      </c>
    </row>
    <row r="39">
      <c r="A39" s="33" t="s">
        <v>340</v>
      </c>
      <c r="B39" s="33" t="s">
        <v>341</v>
      </c>
      <c r="C39" s="34" t="s">
        <v>289</v>
      </c>
      <c r="D39" s="35">
        <v>64.0</v>
      </c>
      <c r="E39" s="36">
        <v>22974.0</v>
      </c>
      <c r="F39" s="33" t="s">
        <v>270</v>
      </c>
      <c r="G39" s="33" t="s">
        <v>270</v>
      </c>
      <c r="H39" s="37">
        <v>14700.0</v>
      </c>
      <c r="I39" s="37">
        <v>0.0</v>
      </c>
      <c r="J39" s="35" t="s">
        <v>32</v>
      </c>
      <c r="K39" s="35">
        <v>40.0</v>
      </c>
      <c r="L39" s="33" t="str">
        <f t="shared" si="1"/>
        <v>Alto</v>
      </c>
      <c r="M39" s="38" t="str">
        <f t="shared" si="2"/>
        <v>Negado</v>
      </c>
      <c r="N39" s="38" t="str">
        <f t="shared" si="3"/>
        <v>Positiva</v>
      </c>
      <c r="O39" s="39">
        <v>83500.0</v>
      </c>
      <c r="P39" s="35">
        <f t="shared" si="4"/>
        <v>0</v>
      </c>
      <c r="Q39" s="33">
        <f t="shared" si="5"/>
        <v>1</v>
      </c>
    </row>
    <row r="40">
      <c r="A40" s="26" t="s">
        <v>71</v>
      </c>
      <c r="B40" s="26" t="s">
        <v>347</v>
      </c>
      <c r="C40" s="27" t="s">
        <v>293</v>
      </c>
      <c r="D40" s="28">
        <v>127.0</v>
      </c>
      <c r="E40" s="29">
        <v>0.0</v>
      </c>
      <c r="F40" s="26" t="s">
        <v>115</v>
      </c>
      <c r="G40" s="26" t="s">
        <v>117</v>
      </c>
      <c r="H40" s="30">
        <v>14400.0</v>
      </c>
      <c r="I40" s="30">
        <v>0.0</v>
      </c>
      <c r="J40" s="28" t="s">
        <v>31</v>
      </c>
      <c r="K40" s="28">
        <v>27.0</v>
      </c>
      <c r="L40" s="26" t="str">
        <f t="shared" si="1"/>
        <v>Alto</v>
      </c>
      <c r="M40" s="31" t="str">
        <f t="shared" si="2"/>
        <v>Aceito</v>
      </c>
      <c r="N40" s="31" t="str">
        <f t="shared" si="3"/>
        <v>Positiva</v>
      </c>
      <c r="O40" s="32">
        <v>33500.0</v>
      </c>
      <c r="P40" s="32">
        <f t="shared" si="4"/>
        <v>36180</v>
      </c>
      <c r="Q40" s="26">
        <f t="shared" si="5"/>
        <v>1</v>
      </c>
    </row>
    <row r="41">
      <c r="A41" s="33" t="s">
        <v>76</v>
      </c>
      <c r="B41" s="33" t="s">
        <v>295</v>
      </c>
      <c r="C41" s="34" t="s">
        <v>296</v>
      </c>
      <c r="D41" s="35">
        <v>39.0</v>
      </c>
      <c r="E41" s="36">
        <v>31879.0</v>
      </c>
      <c r="F41" s="33" t="s">
        <v>221</v>
      </c>
      <c r="G41" s="33" t="s">
        <v>222</v>
      </c>
      <c r="H41" s="37">
        <v>29900.0</v>
      </c>
      <c r="I41" s="37">
        <v>0.0</v>
      </c>
      <c r="J41" s="35" t="s">
        <v>31</v>
      </c>
      <c r="K41" s="35">
        <v>39.0</v>
      </c>
      <c r="L41" s="33" t="str">
        <f t="shared" si="1"/>
        <v>Alto</v>
      </c>
      <c r="M41" s="38" t="str">
        <f t="shared" si="2"/>
        <v>Aceito</v>
      </c>
      <c r="N41" s="38" t="str">
        <f t="shared" si="3"/>
        <v>Positiva</v>
      </c>
      <c r="O41" s="39">
        <v>75000.0</v>
      </c>
      <c r="P41" s="35">
        <f t="shared" si="4"/>
        <v>0</v>
      </c>
      <c r="Q41" s="33">
        <f t="shared" si="5"/>
        <v>1</v>
      </c>
    </row>
    <row r="42">
      <c r="A42" s="26" t="s">
        <v>71</v>
      </c>
      <c r="B42" s="26" t="s">
        <v>298</v>
      </c>
      <c r="C42" s="27" t="s">
        <v>299</v>
      </c>
      <c r="D42" s="28">
        <v>63.0</v>
      </c>
      <c r="E42" s="29">
        <v>23231.0</v>
      </c>
      <c r="F42" s="26" t="s">
        <v>255</v>
      </c>
      <c r="G42" s="26" t="s">
        <v>205</v>
      </c>
      <c r="H42" s="30">
        <v>16800.0</v>
      </c>
      <c r="I42" s="30">
        <v>0.0</v>
      </c>
      <c r="J42" s="28" t="s">
        <v>109</v>
      </c>
      <c r="K42" s="28">
        <v>32.0</v>
      </c>
      <c r="L42" s="26" t="str">
        <f t="shared" si="1"/>
        <v>Alto</v>
      </c>
      <c r="M42" s="31" t="str">
        <f t="shared" si="2"/>
        <v>Aceito</v>
      </c>
      <c r="N42" s="31" t="str">
        <f t="shared" si="3"/>
        <v>Positiva</v>
      </c>
      <c r="O42" s="32">
        <v>61500.0</v>
      </c>
      <c r="P42" s="32">
        <f t="shared" si="4"/>
        <v>66420</v>
      </c>
      <c r="Q42" s="26">
        <f t="shared" si="5"/>
        <v>1</v>
      </c>
    </row>
    <row r="43">
      <c r="A43" s="33" t="s">
        <v>71</v>
      </c>
      <c r="B43" s="33" t="s">
        <v>300</v>
      </c>
      <c r="C43" s="34" t="s">
        <v>301</v>
      </c>
      <c r="D43" s="35">
        <v>55.0</v>
      </c>
      <c r="E43" s="36">
        <v>26124.0</v>
      </c>
      <c r="F43" s="33" t="s">
        <v>221</v>
      </c>
      <c r="G43" s="33" t="s">
        <v>222</v>
      </c>
      <c r="H43" s="37">
        <v>29700.0</v>
      </c>
      <c r="I43" s="37">
        <v>34000.0</v>
      </c>
      <c r="J43" s="35" t="s">
        <v>31</v>
      </c>
      <c r="K43" s="35">
        <v>35.0</v>
      </c>
      <c r="L43" s="33" t="str">
        <f t="shared" si="1"/>
        <v>Alto</v>
      </c>
      <c r="M43" s="38" t="str">
        <f t="shared" si="2"/>
        <v>Aceito</v>
      </c>
      <c r="N43" s="38" t="str">
        <f t="shared" si="3"/>
        <v>Positiva</v>
      </c>
      <c r="O43" s="39">
        <v>35000.0</v>
      </c>
      <c r="P43" s="39">
        <f t="shared" si="4"/>
        <v>37800</v>
      </c>
      <c r="Q43" s="33">
        <f t="shared" si="5"/>
        <v>1</v>
      </c>
    </row>
    <row r="44">
      <c r="A44" s="26" t="s">
        <v>71</v>
      </c>
      <c r="B44" s="26" t="s">
        <v>95</v>
      </c>
      <c r="C44" s="27" t="s">
        <v>303</v>
      </c>
      <c r="D44" s="28">
        <v>29.0</v>
      </c>
      <c r="E44" s="29">
        <v>35472.0</v>
      </c>
      <c r="F44" s="26" t="s">
        <v>361</v>
      </c>
      <c r="G44" s="26" t="s">
        <v>205</v>
      </c>
      <c r="H44" s="30">
        <v>11900.0</v>
      </c>
      <c r="I44" s="30">
        <v>65000.0</v>
      </c>
      <c r="J44" s="28" t="s">
        <v>32</v>
      </c>
      <c r="K44" s="28">
        <v>29.0</v>
      </c>
      <c r="L44" s="26" t="str">
        <f t="shared" si="1"/>
        <v>Alto</v>
      </c>
      <c r="M44" s="31" t="str">
        <f t="shared" si="2"/>
        <v>Negado</v>
      </c>
      <c r="N44" s="31" t="str">
        <f t="shared" si="3"/>
        <v>Negativa</v>
      </c>
      <c r="O44" s="32">
        <v>12000.0</v>
      </c>
      <c r="P44" s="28">
        <f t="shared" si="4"/>
        <v>0</v>
      </c>
      <c r="Q44" s="26">
        <f t="shared" si="5"/>
        <v>0</v>
      </c>
    </row>
    <row r="45">
      <c r="A45" s="33" t="s">
        <v>71</v>
      </c>
      <c r="B45" s="33" t="s">
        <v>305</v>
      </c>
      <c r="C45" s="34">
        <v>16500.0</v>
      </c>
      <c r="D45" s="35">
        <v>37.0</v>
      </c>
      <c r="E45" s="36">
        <v>32513.0</v>
      </c>
      <c r="F45" s="33" t="s">
        <v>306</v>
      </c>
      <c r="G45" s="33" t="s">
        <v>222</v>
      </c>
      <c r="H45" s="37">
        <v>2600.0</v>
      </c>
      <c r="I45" s="37" t="s">
        <v>84</v>
      </c>
      <c r="J45" s="35" t="s">
        <v>31</v>
      </c>
      <c r="K45" s="35">
        <v>5.0</v>
      </c>
      <c r="L45" s="33" t="str">
        <f t="shared" si="1"/>
        <v>Baixo</v>
      </c>
      <c r="M45" s="38" t="str">
        <f t="shared" si="2"/>
        <v>Aceito</v>
      </c>
      <c r="N45" s="38" t="str">
        <f t="shared" si="3"/>
        <v>Positiva</v>
      </c>
      <c r="O45" s="39">
        <v>16500.0</v>
      </c>
      <c r="P45" s="39">
        <f t="shared" si="4"/>
        <v>17820</v>
      </c>
      <c r="Q45" s="33">
        <f t="shared" si="5"/>
        <v>1</v>
      </c>
    </row>
    <row r="46">
      <c r="A46" s="26" t="s">
        <v>71</v>
      </c>
      <c r="B46" s="26" t="s">
        <v>309</v>
      </c>
      <c r="C46" s="27">
        <v>15100.0</v>
      </c>
      <c r="D46" s="28">
        <v>25.0</v>
      </c>
      <c r="E46" s="29">
        <v>37125.0</v>
      </c>
      <c r="F46" s="26" t="s">
        <v>270</v>
      </c>
      <c r="G46" s="26" t="s">
        <v>270</v>
      </c>
      <c r="H46" s="30">
        <v>2500.0</v>
      </c>
      <c r="I46" s="30">
        <v>72500.0</v>
      </c>
      <c r="J46" s="28" t="s">
        <v>31</v>
      </c>
      <c r="K46" s="28">
        <v>32.0</v>
      </c>
      <c r="L46" s="26" t="str">
        <f t="shared" si="1"/>
        <v>Alto</v>
      </c>
      <c r="M46" s="31" t="str">
        <f t="shared" si="2"/>
        <v>Aceito</v>
      </c>
      <c r="N46" s="31" t="str">
        <f t="shared" si="3"/>
        <v>Positiva</v>
      </c>
      <c r="O46" s="32">
        <v>97000.0</v>
      </c>
      <c r="P46" s="32">
        <f t="shared" si="4"/>
        <v>104760</v>
      </c>
      <c r="Q46" s="26">
        <f t="shared" si="5"/>
        <v>1</v>
      </c>
    </row>
    <row r="47">
      <c r="A47" s="33" t="s">
        <v>76</v>
      </c>
      <c r="B47" s="33" t="s">
        <v>311</v>
      </c>
      <c r="C47" s="34" t="s">
        <v>312</v>
      </c>
      <c r="D47" s="35">
        <v>22.0</v>
      </c>
      <c r="E47" s="36">
        <v>38323.0</v>
      </c>
      <c r="F47" s="33" t="s">
        <v>193</v>
      </c>
      <c r="G47" s="33" t="s">
        <v>195</v>
      </c>
      <c r="H47" s="37">
        <v>3800.0</v>
      </c>
      <c r="I47" s="37">
        <v>0.0</v>
      </c>
      <c r="J47" s="35" t="s">
        <v>31</v>
      </c>
      <c r="K47" s="35">
        <v>25.0</v>
      </c>
      <c r="L47" s="33" t="str">
        <f t="shared" si="1"/>
        <v>Médio</v>
      </c>
      <c r="M47" s="38" t="str">
        <f t="shared" si="2"/>
        <v>Aceito</v>
      </c>
      <c r="N47" s="38" t="str">
        <f t="shared" si="3"/>
        <v>Positiva</v>
      </c>
      <c r="O47" s="39">
        <v>50000.0</v>
      </c>
      <c r="P47" s="35">
        <f t="shared" si="4"/>
        <v>0</v>
      </c>
      <c r="Q47" s="33">
        <f t="shared" si="5"/>
        <v>1</v>
      </c>
    </row>
    <row r="48">
      <c r="A48" s="26" t="s">
        <v>71</v>
      </c>
      <c r="B48" s="26" t="s">
        <v>379</v>
      </c>
      <c r="C48" s="27" t="s">
        <v>315</v>
      </c>
      <c r="D48" s="28">
        <v>28.0</v>
      </c>
      <c r="E48" s="29">
        <v>35830.0</v>
      </c>
      <c r="F48" s="26" t="s">
        <v>316</v>
      </c>
      <c r="G48" s="26" t="s">
        <v>83</v>
      </c>
      <c r="H48" s="30">
        <v>2000.0</v>
      </c>
      <c r="I48" s="30">
        <v>51000.0</v>
      </c>
      <c r="J48" s="28" t="s">
        <v>31</v>
      </c>
      <c r="K48" s="28">
        <v>12.0</v>
      </c>
      <c r="L48" s="26" t="str">
        <f t="shared" si="1"/>
        <v>Médio</v>
      </c>
      <c r="M48" s="31" t="str">
        <f t="shared" si="2"/>
        <v>Aceito</v>
      </c>
      <c r="N48" s="31" t="str">
        <f t="shared" si="3"/>
        <v>Positiva</v>
      </c>
      <c r="O48" s="32">
        <v>72500.0</v>
      </c>
      <c r="P48" s="32">
        <f t="shared" si="4"/>
        <v>78300</v>
      </c>
      <c r="Q48" s="26">
        <f t="shared" si="5"/>
        <v>1</v>
      </c>
    </row>
    <row r="49">
      <c r="A49" s="33" t="s">
        <v>76</v>
      </c>
      <c r="B49" s="33" t="s">
        <v>318</v>
      </c>
      <c r="C49" s="34">
        <v>10800.0</v>
      </c>
      <c r="D49" s="35">
        <v>40.0</v>
      </c>
      <c r="E49" s="36">
        <v>31766.0</v>
      </c>
      <c r="F49" s="33" t="s">
        <v>221</v>
      </c>
      <c r="G49" s="33" t="s">
        <v>222</v>
      </c>
      <c r="H49" s="37">
        <v>24700.0</v>
      </c>
      <c r="I49" s="37">
        <v>23500.0</v>
      </c>
      <c r="J49" s="35" t="s">
        <v>31</v>
      </c>
      <c r="K49" s="35">
        <v>43.0</v>
      </c>
      <c r="L49" s="33" t="str">
        <f t="shared" si="1"/>
        <v>Alto</v>
      </c>
      <c r="M49" s="38" t="str">
        <f t="shared" si="2"/>
        <v>Aceito</v>
      </c>
      <c r="N49" s="38" t="str">
        <f t="shared" si="3"/>
        <v>Positiva</v>
      </c>
      <c r="O49" s="39">
        <v>57000.0</v>
      </c>
      <c r="P49" s="35">
        <f t="shared" si="4"/>
        <v>0</v>
      </c>
      <c r="Q49" s="33">
        <f t="shared" si="5"/>
        <v>1</v>
      </c>
    </row>
    <row r="50">
      <c r="A50" s="26" t="s">
        <v>71</v>
      </c>
      <c r="B50" s="26" t="s">
        <v>321</v>
      </c>
      <c r="C50" s="27">
        <v>15000.0</v>
      </c>
      <c r="D50" s="28">
        <v>73.0</v>
      </c>
      <c r="E50" s="29">
        <v>19588.0</v>
      </c>
      <c r="F50" s="26" t="s">
        <v>246</v>
      </c>
      <c r="G50" s="26" t="s">
        <v>205</v>
      </c>
      <c r="H50" s="30">
        <v>28600.0</v>
      </c>
      <c r="I50" s="30">
        <v>40500.0</v>
      </c>
      <c r="J50" s="28" t="s">
        <v>31</v>
      </c>
      <c r="K50" s="28">
        <v>20.0</v>
      </c>
      <c r="L50" s="26" t="str">
        <f t="shared" si="1"/>
        <v>Médio</v>
      </c>
      <c r="M50" s="31" t="str">
        <f t="shared" si="2"/>
        <v>Aceito</v>
      </c>
      <c r="N50" s="31" t="str">
        <f t="shared" si="3"/>
        <v>Positiva</v>
      </c>
      <c r="O50" s="32">
        <v>2500.0</v>
      </c>
      <c r="P50" s="32">
        <f t="shared" si="4"/>
        <v>2700</v>
      </c>
      <c r="Q50" s="26">
        <f t="shared" si="5"/>
        <v>1</v>
      </c>
    </row>
    <row r="51">
      <c r="A51" s="33" t="s">
        <v>71</v>
      </c>
      <c r="B51" s="33" t="s">
        <v>322</v>
      </c>
      <c r="C51" s="34" t="s">
        <v>323</v>
      </c>
      <c r="D51" s="35">
        <v>43.0</v>
      </c>
      <c r="E51" s="36">
        <v>30662.0</v>
      </c>
      <c r="F51" s="33" t="s">
        <v>203</v>
      </c>
      <c r="G51" s="33" t="s">
        <v>205</v>
      </c>
      <c r="H51" s="37">
        <v>20400.0</v>
      </c>
      <c r="I51" s="37">
        <v>0.0</v>
      </c>
      <c r="J51" s="35" t="s">
        <v>31</v>
      </c>
      <c r="K51" s="35">
        <v>0.0</v>
      </c>
      <c r="L51" s="33" t="str">
        <f t="shared" si="1"/>
        <v>Baixo</v>
      </c>
      <c r="M51" s="38" t="str">
        <f t="shared" si="2"/>
        <v>Aceito</v>
      </c>
      <c r="N51" s="38" t="str">
        <f t="shared" si="3"/>
        <v>Positiva</v>
      </c>
      <c r="O51" s="39">
        <v>81000.0</v>
      </c>
      <c r="P51" s="39">
        <f t="shared" si="4"/>
        <v>87480</v>
      </c>
      <c r="Q51" s="33">
        <f t="shared" si="5"/>
        <v>1</v>
      </c>
    </row>
    <row r="52">
      <c r="A52" s="26" t="s">
        <v>71</v>
      </c>
      <c r="B52" s="26" t="s">
        <v>324</v>
      </c>
      <c r="C52" s="27" t="s">
        <v>325</v>
      </c>
      <c r="D52" s="28">
        <v>49.0</v>
      </c>
      <c r="E52" s="29">
        <v>28136.0</v>
      </c>
      <c r="F52" s="26" t="s">
        <v>100</v>
      </c>
      <c r="G52" s="26" t="s">
        <v>88</v>
      </c>
      <c r="H52" s="30">
        <v>4500.0</v>
      </c>
      <c r="I52" s="30">
        <v>0.0</v>
      </c>
      <c r="J52" s="28" t="s">
        <v>31</v>
      </c>
      <c r="K52" s="28">
        <v>3.0</v>
      </c>
      <c r="L52" s="26" t="str">
        <f t="shared" si="1"/>
        <v>Baixo</v>
      </c>
      <c r="M52" s="31" t="str">
        <f t="shared" si="2"/>
        <v>Aceito</v>
      </c>
      <c r="N52" s="31" t="str">
        <f t="shared" si="3"/>
        <v>Positiva</v>
      </c>
      <c r="O52" s="32">
        <v>48500.0</v>
      </c>
      <c r="P52" s="32">
        <f t="shared" si="4"/>
        <v>52380</v>
      </c>
      <c r="Q52" s="26">
        <f t="shared" si="5"/>
        <v>1</v>
      </c>
    </row>
    <row r="53">
      <c r="A53" s="33" t="s">
        <v>71</v>
      </c>
      <c r="B53" s="33" t="s">
        <v>85</v>
      </c>
      <c r="C53" s="34" t="s">
        <v>327</v>
      </c>
      <c r="D53" s="35">
        <v>40.0</v>
      </c>
      <c r="E53" s="36">
        <v>31634.0</v>
      </c>
      <c r="F53" s="33" t="s">
        <v>93</v>
      </c>
      <c r="G53" s="33" t="s">
        <v>94</v>
      </c>
      <c r="H53" s="37">
        <v>22200.0</v>
      </c>
      <c r="I53" s="37">
        <v>0.0</v>
      </c>
      <c r="J53" s="35" t="s">
        <v>32</v>
      </c>
      <c r="K53" s="35">
        <v>3.0</v>
      </c>
      <c r="L53" s="33" t="str">
        <f t="shared" si="1"/>
        <v>Baixo</v>
      </c>
      <c r="M53" s="38" t="str">
        <f t="shared" si="2"/>
        <v>Aceito</v>
      </c>
      <c r="N53" s="38" t="str">
        <f t="shared" si="3"/>
        <v>Positiva</v>
      </c>
      <c r="O53" s="39">
        <v>7000.0</v>
      </c>
      <c r="P53" s="39">
        <f t="shared" si="4"/>
        <v>7560</v>
      </c>
      <c r="Q53" s="33">
        <f t="shared" si="5"/>
        <v>1</v>
      </c>
    </row>
    <row r="54">
      <c r="A54" s="26" t="s">
        <v>76</v>
      </c>
      <c r="B54" s="26" t="s">
        <v>329</v>
      </c>
      <c r="C54" s="27" t="s">
        <v>330</v>
      </c>
      <c r="D54" s="28">
        <v>57.0</v>
      </c>
      <c r="E54" s="29">
        <v>25525.0</v>
      </c>
      <c r="F54" s="26" t="s">
        <v>270</v>
      </c>
      <c r="G54" s="26" t="s">
        <v>270</v>
      </c>
      <c r="H54" s="30">
        <v>11100.0</v>
      </c>
      <c r="I54" s="30">
        <v>63000.0</v>
      </c>
      <c r="J54" s="28" t="s">
        <v>31</v>
      </c>
      <c r="K54" s="28">
        <v>0.0</v>
      </c>
      <c r="L54" s="26" t="str">
        <f t="shared" si="1"/>
        <v>Baixo</v>
      </c>
      <c r="M54" s="31" t="str">
        <f t="shared" si="2"/>
        <v>Aceito</v>
      </c>
      <c r="N54" s="31" t="str">
        <f t="shared" si="3"/>
        <v>Positiva</v>
      </c>
      <c r="O54" s="32">
        <v>56000.0</v>
      </c>
      <c r="P54" s="28">
        <f t="shared" si="4"/>
        <v>0</v>
      </c>
      <c r="Q54" s="26">
        <f t="shared" si="5"/>
        <v>1</v>
      </c>
    </row>
    <row r="55">
      <c r="A55" s="33" t="s">
        <v>76</v>
      </c>
      <c r="B55" s="33" t="s">
        <v>333</v>
      </c>
      <c r="C55" s="34">
        <v>14200.0</v>
      </c>
      <c r="D55" s="35">
        <v>48.0</v>
      </c>
      <c r="E55" s="36">
        <v>28770.0</v>
      </c>
      <c r="F55" s="33" t="s">
        <v>424</v>
      </c>
      <c r="G55" s="33" t="s">
        <v>270</v>
      </c>
      <c r="H55" s="37">
        <v>15800.0</v>
      </c>
      <c r="I55" s="37" t="s">
        <v>84</v>
      </c>
      <c r="J55" s="35" t="s">
        <v>31</v>
      </c>
      <c r="K55" s="35">
        <v>12.0</v>
      </c>
      <c r="L55" s="33" t="str">
        <f t="shared" si="1"/>
        <v>Médio</v>
      </c>
      <c r="M55" s="38" t="str">
        <f t="shared" si="2"/>
        <v>Aceito</v>
      </c>
      <c r="N55" s="38" t="str">
        <f t="shared" si="3"/>
        <v>Positiva</v>
      </c>
      <c r="O55" s="39">
        <v>69500.0</v>
      </c>
      <c r="P55" s="35">
        <f t="shared" si="4"/>
        <v>0</v>
      </c>
      <c r="Q55" s="33">
        <f t="shared" si="5"/>
        <v>1</v>
      </c>
    </row>
    <row r="56">
      <c r="A56" s="26" t="s">
        <v>76</v>
      </c>
      <c r="B56" s="26" t="s">
        <v>335</v>
      </c>
      <c r="C56" s="27" t="s">
        <v>336</v>
      </c>
      <c r="D56" s="28">
        <v>70.0</v>
      </c>
      <c r="E56" s="29">
        <v>20570.0</v>
      </c>
      <c r="F56" s="26" t="s">
        <v>136</v>
      </c>
      <c r="G56" s="26" t="s">
        <v>117</v>
      </c>
      <c r="H56" s="30">
        <v>16300.0</v>
      </c>
      <c r="I56" s="30">
        <v>16500.0</v>
      </c>
      <c r="J56" s="28" t="s">
        <v>31</v>
      </c>
      <c r="K56" s="28">
        <v>25.0</v>
      </c>
      <c r="L56" s="26" t="str">
        <f t="shared" si="1"/>
        <v>Médio</v>
      </c>
      <c r="M56" s="31" t="str">
        <f t="shared" si="2"/>
        <v>Aceito</v>
      </c>
      <c r="N56" s="31" t="str">
        <f t="shared" si="3"/>
        <v>Positiva</v>
      </c>
      <c r="O56" s="32">
        <v>65500.0</v>
      </c>
      <c r="P56" s="28">
        <f t="shared" si="4"/>
        <v>0</v>
      </c>
      <c r="Q56" s="26">
        <f t="shared" si="5"/>
        <v>1</v>
      </c>
    </row>
    <row r="57">
      <c r="A57" s="33" t="s">
        <v>71</v>
      </c>
      <c r="B57" s="33" t="s">
        <v>338</v>
      </c>
      <c r="C57" s="34" t="s">
        <v>339</v>
      </c>
      <c r="D57" s="35">
        <v>24.0</v>
      </c>
      <c r="E57" s="36">
        <v>37435.0</v>
      </c>
      <c r="F57" s="33" t="s">
        <v>342</v>
      </c>
      <c r="G57" s="33" t="s">
        <v>437</v>
      </c>
      <c r="H57" s="37">
        <v>6100.0</v>
      </c>
      <c r="I57" s="37" t="s">
        <v>84</v>
      </c>
      <c r="J57" s="35" t="s">
        <v>31</v>
      </c>
      <c r="K57" s="35">
        <v>15.0</v>
      </c>
      <c r="L57" s="33" t="str">
        <f t="shared" si="1"/>
        <v>Médio</v>
      </c>
      <c r="M57" s="38" t="str">
        <f t="shared" si="2"/>
        <v>Aceito</v>
      </c>
      <c r="N57" s="38" t="str">
        <f t="shared" si="3"/>
        <v>Positiva</v>
      </c>
      <c r="O57" s="39">
        <v>67000.0</v>
      </c>
      <c r="P57" s="39">
        <f t="shared" si="4"/>
        <v>72360</v>
      </c>
      <c r="Q57" s="33">
        <f t="shared" si="5"/>
        <v>1</v>
      </c>
    </row>
    <row r="58">
      <c r="A58" s="26" t="s">
        <v>71</v>
      </c>
      <c r="B58" s="26" t="s">
        <v>345</v>
      </c>
      <c r="C58" s="27" t="s">
        <v>346</v>
      </c>
      <c r="D58" s="28">
        <v>48.0</v>
      </c>
      <c r="E58" s="29">
        <v>28802.0</v>
      </c>
      <c r="F58" s="26" t="s">
        <v>342</v>
      </c>
      <c r="G58" s="26" t="s">
        <v>437</v>
      </c>
      <c r="H58" s="30">
        <v>22700.0</v>
      </c>
      <c r="I58" s="30">
        <v>8500.0</v>
      </c>
      <c r="J58" s="28" t="s">
        <v>109</v>
      </c>
      <c r="K58" s="28">
        <v>35.0</v>
      </c>
      <c r="L58" s="26" t="str">
        <f t="shared" si="1"/>
        <v>Alto</v>
      </c>
      <c r="M58" s="31" t="str">
        <f t="shared" si="2"/>
        <v>Aceito</v>
      </c>
      <c r="N58" s="31" t="str">
        <f t="shared" si="3"/>
        <v>Positiva</v>
      </c>
      <c r="O58" s="32">
        <v>23500.0</v>
      </c>
      <c r="P58" s="32">
        <f t="shared" si="4"/>
        <v>25380</v>
      </c>
      <c r="Q58" s="26">
        <f t="shared" si="5"/>
        <v>1</v>
      </c>
    </row>
    <row r="59">
      <c r="A59" s="33" t="s">
        <v>71</v>
      </c>
      <c r="B59" s="33" t="s">
        <v>349</v>
      </c>
      <c r="C59" s="34" t="s">
        <v>350</v>
      </c>
      <c r="D59" s="35">
        <v>34.0</v>
      </c>
      <c r="E59" s="36">
        <v>33704.0</v>
      </c>
      <c r="F59" s="33" t="s">
        <v>203</v>
      </c>
      <c r="G59" s="33" t="s">
        <v>205</v>
      </c>
      <c r="H59" s="37">
        <v>29700.0</v>
      </c>
      <c r="I59" s="37">
        <v>22000.0</v>
      </c>
      <c r="J59" s="35" t="s">
        <v>31</v>
      </c>
      <c r="K59" s="35">
        <v>38.0</v>
      </c>
      <c r="L59" s="33" t="str">
        <f t="shared" si="1"/>
        <v>Alto</v>
      </c>
      <c r="M59" s="38" t="str">
        <f t="shared" si="2"/>
        <v>Aceito</v>
      </c>
      <c r="N59" s="38" t="str">
        <f t="shared" si="3"/>
        <v>Positiva</v>
      </c>
      <c r="O59" s="39">
        <v>81000.0</v>
      </c>
      <c r="P59" s="39">
        <f t="shared" si="4"/>
        <v>87480</v>
      </c>
      <c r="Q59" s="33">
        <f t="shared" si="5"/>
        <v>1</v>
      </c>
    </row>
    <row r="60">
      <c r="A60" s="26" t="s">
        <v>76</v>
      </c>
      <c r="B60" s="26" t="s">
        <v>352</v>
      </c>
      <c r="C60" s="27" t="s">
        <v>353</v>
      </c>
      <c r="D60" s="28">
        <v>39.0</v>
      </c>
      <c r="E60" s="29">
        <v>32102.0</v>
      </c>
      <c r="F60" s="26" t="s">
        <v>100</v>
      </c>
      <c r="G60" s="26" t="s">
        <v>88</v>
      </c>
      <c r="H60" s="30">
        <v>13500.0</v>
      </c>
      <c r="I60" s="30">
        <v>24000.0</v>
      </c>
      <c r="J60" s="28" t="s">
        <v>31</v>
      </c>
      <c r="K60" s="28">
        <v>2.0</v>
      </c>
      <c r="L60" s="26" t="str">
        <f t="shared" si="1"/>
        <v>Baixo</v>
      </c>
      <c r="M60" s="31" t="str">
        <f t="shared" si="2"/>
        <v>Aceito</v>
      </c>
      <c r="N60" s="31" t="str">
        <f t="shared" si="3"/>
        <v>Positiva</v>
      </c>
      <c r="O60" s="32">
        <v>17500.0</v>
      </c>
      <c r="P60" s="28">
        <f t="shared" si="4"/>
        <v>0</v>
      </c>
      <c r="Q60" s="26">
        <f t="shared" si="5"/>
        <v>1</v>
      </c>
    </row>
    <row r="61">
      <c r="A61" s="33" t="s">
        <v>71</v>
      </c>
      <c r="B61" s="33" t="s">
        <v>355</v>
      </c>
      <c r="C61" s="34">
        <v>3400.0</v>
      </c>
      <c r="D61" s="35">
        <v>36.0</v>
      </c>
      <c r="E61" s="36">
        <v>33204.0</v>
      </c>
      <c r="F61" s="33" t="s">
        <v>255</v>
      </c>
      <c r="G61" s="33" t="s">
        <v>205</v>
      </c>
      <c r="H61" s="37">
        <v>17600.0</v>
      </c>
      <c r="I61" s="37">
        <v>44000.0</v>
      </c>
      <c r="J61" s="35" t="s">
        <v>31</v>
      </c>
      <c r="K61" s="35">
        <v>22.0</v>
      </c>
      <c r="L61" s="33" t="str">
        <f t="shared" si="1"/>
        <v>Médio</v>
      </c>
      <c r="M61" s="38" t="str">
        <f t="shared" si="2"/>
        <v>Aceito</v>
      </c>
      <c r="N61" s="38" t="str">
        <f t="shared" si="3"/>
        <v>Positiva</v>
      </c>
      <c r="O61" s="39">
        <v>56500.0</v>
      </c>
      <c r="P61" s="39">
        <f t="shared" si="4"/>
        <v>61020</v>
      </c>
      <c r="Q61" s="33">
        <f t="shared" si="5"/>
        <v>1</v>
      </c>
    </row>
    <row r="62">
      <c r="A62" s="26" t="s">
        <v>76</v>
      </c>
      <c r="B62" s="26" t="s">
        <v>468</v>
      </c>
      <c r="C62" s="27" t="s">
        <v>358</v>
      </c>
      <c r="D62" s="28">
        <v>68.0</v>
      </c>
      <c r="E62" s="29">
        <v>21512.0</v>
      </c>
      <c r="F62" s="26" t="s">
        <v>136</v>
      </c>
      <c r="G62" s="26" t="s">
        <v>117</v>
      </c>
      <c r="H62" s="30">
        <v>3200.0</v>
      </c>
      <c r="I62" s="30">
        <v>6500.0</v>
      </c>
      <c r="J62" s="28" t="s">
        <v>31</v>
      </c>
      <c r="K62" s="28">
        <v>20.0</v>
      </c>
      <c r="L62" s="26" t="str">
        <f t="shared" si="1"/>
        <v>Médio</v>
      </c>
      <c r="M62" s="31" t="str">
        <f t="shared" si="2"/>
        <v>Aceito</v>
      </c>
      <c r="N62" s="31" t="str">
        <f t="shared" si="3"/>
        <v>Positiva</v>
      </c>
      <c r="O62" s="32">
        <v>52500.0</v>
      </c>
      <c r="P62" s="28">
        <f t="shared" si="4"/>
        <v>0</v>
      </c>
      <c r="Q62" s="26">
        <f t="shared" si="5"/>
        <v>1</v>
      </c>
    </row>
    <row r="63">
      <c r="A63" s="33" t="s">
        <v>71</v>
      </c>
      <c r="B63" s="33" t="s">
        <v>363</v>
      </c>
      <c r="C63" s="34" t="s">
        <v>364</v>
      </c>
      <c r="D63" s="35">
        <v>52.0</v>
      </c>
      <c r="E63" s="36">
        <v>27377.0</v>
      </c>
      <c r="F63" s="33" t="s">
        <v>100</v>
      </c>
      <c r="G63" s="33" t="s">
        <v>88</v>
      </c>
      <c r="H63" s="37">
        <v>16300.0</v>
      </c>
      <c r="I63" s="37" t="s">
        <v>84</v>
      </c>
      <c r="J63" s="35" t="s">
        <v>31</v>
      </c>
      <c r="K63" s="35">
        <v>8.0</v>
      </c>
      <c r="L63" s="33" t="str">
        <f t="shared" si="1"/>
        <v>Baixo</v>
      </c>
      <c r="M63" s="38" t="str">
        <f t="shared" si="2"/>
        <v>Aceito</v>
      </c>
      <c r="N63" s="38" t="str">
        <f t="shared" si="3"/>
        <v>Positiva</v>
      </c>
      <c r="O63" s="39">
        <v>33000.0</v>
      </c>
      <c r="P63" s="39">
        <f t="shared" si="4"/>
        <v>35640</v>
      </c>
      <c r="Q63" s="33">
        <f t="shared" si="5"/>
        <v>1</v>
      </c>
    </row>
    <row r="64">
      <c r="A64" s="26" t="s">
        <v>76</v>
      </c>
      <c r="B64" s="26" t="s">
        <v>366</v>
      </c>
      <c r="C64" s="27" t="s">
        <v>367</v>
      </c>
      <c r="D64" s="28">
        <v>47.0</v>
      </c>
      <c r="E64" s="29">
        <v>29113.0</v>
      </c>
      <c r="F64" s="26" t="s">
        <v>246</v>
      </c>
      <c r="G64" s="26" t="s">
        <v>205</v>
      </c>
      <c r="H64" s="30">
        <v>15000.0</v>
      </c>
      <c r="I64" s="30">
        <v>32500.0</v>
      </c>
      <c r="J64" s="28" t="s">
        <v>31</v>
      </c>
      <c r="K64" s="28">
        <v>40.0</v>
      </c>
      <c r="L64" s="26" t="str">
        <f t="shared" si="1"/>
        <v>Alto</v>
      </c>
      <c r="M64" s="31" t="str">
        <f t="shared" si="2"/>
        <v>Aceito</v>
      </c>
      <c r="N64" s="31" t="str">
        <f t="shared" si="3"/>
        <v>Positiva</v>
      </c>
      <c r="O64" s="32">
        <v>4500.0</v>
      </c>
      <c r="P64" s="28">
        <f t="shared" si="4"/>
        <v>0</v>
      </c>
      <c r="Q64" s="26">
        <f t="shared" si="5"/>
        <v>1</v>
      </c>
    </row>
    <row r="65">
      <c r="A65" s="33" t="s">
        <v>71</v>
      </c>
      <c r="B65" s="33" t="s">
        <v>370</v>
      </c>
      <c r="C65" s="34">
        <v>23900.0</v>
      </c>
      <c r="D65" s="35">
        <v>40.0</v>
      </c>
      <c r="E65" s="36">
        <v>31740.0</v>
      </c>
      <c r="F65" s="33" t="s">
        <v>100</v>
      </c>
      <c r="G65" s="33" t="s">
        <v>88</v>
      </c>
      <c r="H65" s="37">
        <v>13200.0</v>
      </c>
      <c r="I65" s="37" t="s">
        <v>84</v>
      </c>
      <c r="J65" s="35" t="s">
        <v>31</v>
      </c>
      <c r="K65" s="35">
        <v>38.0</v>
      </c>
      <c r="L65" s="33" t="str">
        <f t="shared" si="1"/>
        <v>Alto</v>
      </c>
      <c r="M65" s="38" t="str">
        <f t="shared" si="2"/>
        <v>Aceito</v>
      </c>
      <c r="N65" s="38" t="str">
        <f t="shared" si="3"/>
        <v>Positiva</v>
      </c>
      <c r="O65" s="39">
        <v>36000.0</v>
      </c>
      <c r="P65" s="39">
        <f t="shared" si="4"/>
        <v>38880</v>
      </c>
      <c r="Q65" s="33">
        <f t="shared" si="5"/>
        <v>1</v>
      </c>
    </row>
    <row r="66">
      <c r="A66" s="26" t="s">
        <v>71</v>
      </c>
      <c r="B66" s="26" t="s">
        <v>373</v>
      </c>
      <c r="C66" s="27" t="s">
        <v>374</v>
      </c>
      <c r="D66" s="28">
        <v>25.0</v>
      </c>
      <c r="E66" s="29">
        <v>37172.0</v>
      </c>
      <c r="F66" s="26" t="s">
        <v>74</v>
      </c>
      <c r="G66" s="26" t="s">
        <v>75</v>
      </c>
      <c r="H66" s="30">
        <v>21600.0</v>
      </c>
      <c r="I66" s="30">
        <v>25000.0</v>
      </c>
      <c r="J66" s="28" t="s">
        <v>31</v>
      </c>
      <c r="K66" s="28">
        <v>33.0</v>
      </c>
      <c r="L66" s="26" t="str">
        <f t="shared" si="1"/>
        <v>Alto</v>
      </c>
      <c r="M66" s="31" t="str">
        <f t="shared" si="2"/>
        <v>Aceito</v>
      </c>
      <c r="N66" s="31" t="str">
        <f t="shared" si="3"/>
        <v>Positiva</v>
      </c>
      <c r="O66" s="32">
        <v>17500.0</v>
      </c>
      <c r="P66" s="32">
        <f t="shared" si="4"/>
        <v>18900</v>
      </c>
      <c r="Q66" s="26">
        <f t="shared" si="5"/>
        <v>1</v>
      </c>
    </row>
    <row r="67">
      <c r="A67" s="33" t="s">
        <v>71</v>
      </c>
      <c r="B67" s="33" t="s">
        <v>376</v>
      </c>
      <c r="C67" s="34">
        <v>16100.0</v>
      </c>
      <c r="D67" s="35">
        <v>127.0</v>
      </c>
      <c r="E67" s="36">
        <v>0.0</v>
      </c>
      <c r="F67" s="33" t="s">
        <v>93</v>
      </c>
      <c r="G67" s="33" t="s">
        <v>94</v>
      </c>
      <c r="H67" s="37">
        <v>0.0</v>
      </c>
      <c r="I67" s="37" t="s">
        <v>84</v>
      </c>
      <c r="J67" s="35" t="s">
        <v>32</v>
      </c>
      <c r="K67" s="35">
        <v>28.0</v>
      </c>
      <c r="L67" s="33" t="str">
        <f t="shared" si="1"/>
        <v>Alto</v>
      </c>
      <c r="M67" s="38" t="str">
        <f t="shared" si="2"/>
        <v>Negado</v>
      </c>
      <c r="N67" s="38" t="str">
        <f t="shared" si="3"/>
        <v>Negativa</v>
      </c>
      <c r="O67" s="39">
        <v>13000.0</v>
      </c>
      <c r="P67" s="35">
        <f t="shared" si="4"/>
        <v>0</v>
      </c>
      <c r="Q67" s="33">
        <f t="shared" si="5"/>
        <v>0</v>
      </c>
    </row>
    <row r="68">
      <c r="A68" s="26" t="s">
        <v>71</v>
      </c>
      <c r="B68" s="26" t="s">
        <v>378</v>
      </c>
      <c r="C68" s="27">
        <v>6300.0</v>
      </c>
      <c r="D68" s="28">
        <v>127.0</v>
      </c>
      <c r="E68" s="29">
        <v>0.0</v>
      </c>
      <c r="F68" s="26" t="s">
        <v>82</v>
      </c>
      <c r="G68" s="26" t="s">
        <v>83</v>
      </c>
      <c r="H68" s="30">
        <v>19900.0</v>
      </c>
      <c r="I68" s="30">
        <v>35000.0</v>
      </c>
      <c r="J68" s="28" t="s">
        <v>31</v>
      </c>
      <c r="K68" s="28">
        <v>25.0</v>
      </c>
      <c r="L68" s="26" t="str">
        <f t="shared" si="1"/>
        <v>Médio</v>
      </c>
      <c r="M68" s="31" t="str">
        <f t="shared" si="2"/>
        <v>Aceito</v>
      </c>
      <c r="N68" s="31" t="str">
        <f t="shared" si="3"/>
        <v>Positiva</v>
      </c>
      <c r="O68" s="32">
        <v>59500.0</v>
      </c>
      <c r="P68" s="32">
        <f t="shared" si="4"/>
        <v>64260</v>
      </c>
      <c r="Q68" s="26">
        <f t="shared" si="5"/>
        <v>1</v>
      </c>
    </row>
    <row r="69">
      <c r="A69" s="33" t="s">
        <v>76</v>
      </c>
      <c r="B69" s="33" t="s">
        <v>380</v>
      </c>
      <c r="C69" s="34">
        <v>27200.0</v>
      </c>
      <c r="D69" s="35">
        <v>56.0</v>
      </c>
      <c r="E69" s="36">
        <v>25710.0</v>
      </c>
      <c r="F69" s="33" t="s">
        <v>246</v>
      </c>
      <c r="G69" s="33" t="s">
        <v>205</v>
      </c>
      <c r="H69" s="37">
        <v>14100.0</v>
      </c>
      <c r="I69" s="37">
        <v>1500.0</v>
      </c>
      <c r="J69" s="35" t="s">
        <v>31</v>
      </c>
      <c r="K69" s="35">
        <v>26.0</v>
      </c>
      <c r="L69" s="33" t="str">
        <f t="shared" si="1"/>
        <v>Alto</v>
      </c>
      <c r="M69" s="38" t="str">
        <f t="shared" si="2"/>
        <v>Aceito</v>
      </c>
      <c r="N69" s="38" t="str">
        <f t="shared" si="3"/>
        <v>Positiva</v>
      </c>
      <c r="O69" s="39">
        <v>36000.0</v>
      </c>
      <c r="P69" s="35">
        <f t="shared" si="4"/>
        <v>0</v>
      </c>
      <c r="Q69" s="33">
        <f t="shared" si="5"/>
        <v>1</v>
      </c>
    </row>
    <row r="70">
      <c r="A70" s="26" t="s">
        <v>71</v>
      </c>
      <c r="B70" s="26" t="s">
        <v>382</v>
      </c>
      <c r="C70" s="27" t="s">
        <v>383</v>
      </c>
      <c r="D70" s="28">
        <v>33.0</v>
      </c>
      <c r="E70" s="29">
        <v>34027.0</v>
      </c>
      <c r="F70" s="26" t="s">
        <v>136</v>
      </c>
      <c r="G70" s="26" t="s">
        <v>117</v>
      </c>
      <c r="H70" s="30">
        <v>3400.0</v>
      </c>
      <c r="I70" s="30">
        <v>0.0</v>
      </c>
      <c r="J70" s="28" t="s">
        <v>31</v>
      </c>
      <c r="K70" s="28">
        <v>13.0</v>
      </c>
      <c r="L70" s="26" t="str">
        <f t="shared" si="1"/>
        <v>Médio</v>
      </c>
      <c r="M70" s="31" t="str">
        <f t="shared" si="2"/>
        <v>Aceito</v>
      </c>
      <c r="N70" s="31" t="str">
        <f t="shared" si="3"/>
        <v>Positiva</v>
      </c>
      <c r="O70" s="32">
        <v>70000.0</v>
      </c>
      <c r="P70" s="32">
        <f t="shared" si="4"/>
        <v>75600</v>
      </c>
      <c r="Q70" s="26">
        <f t="shared" si="5"/>
        <v>1</v>
      </c>
    </row>
    <row r="71">
      <c r="A71" s="33" t="s">
        <v>71</v>
      </c>
      <c r="B71" s="33" t="s">
        <v>387</v>
      </c>
      <c r="C71" s="34" t="s">
        <v>388</v>
      </c>
      <c r="D71" s="35">
        <v>42.0</v>
      </c>
      <c r="E71" s="36">
        <v>30944.0</v>
      </c>
      <c r="F71" s="33" t="s">
        <v>78</v>
      </c>
      <c r="G71" s="33" t="s">
        <v>79</v>
      </c>
      <c r="H71" s="37">
        <v>20000.0</v>
      </c>
      <c r="I71" s="37">
        <v>20.5</v>
      </c>
      <c r="J71" s="35" t="s">
        <v>32</v>
      </c>
      <c r="K71" s="35">
        <v>8.0</v>
      </c>
      <c r="L71" s="33" t="str">
        <f t="shared" si="1"/>
        <v>Baixo</v>
      </c>
      <c r="M71" s="38" t="str">
        <f t="shared" si="2"/>
        <v>Aceito</v>
      </c>
      <c r="N71" s="38" t="str">
        <f t="shared" si="3"/>
        <v>Positiva</v>
      </c>
      <c r="O71" s="39">
        <v>44000.0</v>
      </c>
      <c r="P71" s="39">
        <f t="shared" si="4"/>
        <v>47520</v>
      </c>
      <c r="Q71" s="33">
        <f t="shared" si="5"/>
        <v>1</v>
      </c>
    </row>
    <row r="72">
      <c r="A72" s="26" t="s">
        <v>71</v>
      </c>
      <c r="B72" s="26" t="s">
        <v>391</v>
      </c>
      <c r="C72" s="27" t="s">
        <v>392</v>
      </c>
      <c r="D72" s="28">
        <v>32.0</v>
      </c>
      <c r="E72" s="29">
        <v>34411.0</v>
      </c>
      <c r="F72" s="26" t="s">
        <v>270</v>
      </c>
      <c r="G72" s="26" t="s">
        <v>270</v>
      </c>
      <c r="H72" s="30">
        <v>0.0</v>
      </c>
      <c r="I72" s="30">
        <v>0.0</v>
      </c>
      <c r="J72" s="28" t="s">
        <v>31</v>
      </c>
      <c r="K72" s="28">
        <v>20.0</v>
      </c>
      <c r="L72" s="26" t="str">
        <f t="shared" si="1"/>
        <v>Médio</v>
      </c>
      <c r="M72" s="31" t="str">
        <f t="shared" si="2"/>
        <v>Aceito</v>
      </c>
      <c r="N72" s="31" t="str">
        <f t="shared" si="3"/>
        <v>Positiva</v>
      </c>
      <c r="O72" s="32">
        <v>42000.0</v>
      </c>
      <c r="P72" s="32">
        <f t="shared" si="4"/>
        <v>45360</v>
      </c>
      <c r="Q72" s="26">
        <f t="shared" si="5"/>
        <v>1</v>
      </c>
    </row>
    <row r="73">
      <c r="A73" s="33" t="s">
        <v>71</v>
      </c>
      <c r="B73" s="33" t="s">
        <v>394</v>
      </c>
      <c r="C73" s="34" t="s">
        <v>395</v>
      </c>
      <c r="D73" s="35">
        <v>35.0</v>
      </c>
      <c r="E73" s="36">
        <v>33525.0</v>
      </c>
      <c r="F73" s="33" t="s">
        <v>255</v>
      </c>
      <c r="G73" s="33" t="s">
        <v>205</v>
      </c>
      <c r="H73" s="37">
        <v>28000.0</v>
      </c>
      <c r="I73" s="37">
        <v>36500.0</v>
      </c>
      <c r="J73" s="35" t="s">
        <v>31</v>
      </c>
      <c r="K73" s="35">
        <v>33.0</v>
      </c>
      <c r="L73" s="33" t="str">
        <f t="shared" si="1"/>
        <v>Alto</v>
      </c>
      <c r="M73" s="38" t="str">
        <f t="shared" si="2"/>
        <v>Aceito</v>
      </c>
      <c r="N73" s="38" t="str">
        <f t="shared" si="3"/>
        <v>Positiva</v>
      </c>
      <c r="O73" s="39">
        <v>60000.0</v>
      </c>
      <c r="P73" s="39">
        <f t="shared" si="4"/>
        <v>64800</v>
      </c>
      <c r="Q73" s="33">
        <f t="shared" si="5"/>
        <v>1</v>
      </c>
    </row>
    <row r="74">
      <c r="A74" s="26" t="s">
        <v>71</v>
      </c>
      <c r="B74" s="26" t="s">
        <v>396</v>
      </c>
      <c r="C74" s="27" t="s">
        <v>397</v>
      </c>
      <c r="D74" s="28">
        <v>24.0</v>
      </c>
      <c r="E74" s="29">
        <v>37259.0</v>
      </c>
      <c r="F74" s="26" t="s">
        <v>270</v>
      </c>
      <c r="G74" s="26" t="s">
        <v>270</v>
      </c>
      <c r="H74" s="30">
        <v>25200.0</v>
      </c>
      <c r="I74" s="30">
        <v>0.0</v>
      </c>
      <c r="J74" s="28" t="s">
        <v>31</v>
      </c>
      <c r="K74" s="28">
        <v>10.0</v>
      </c>
      <c r="L74" s="26" t="str">
        <f t="shared" si="1"/>
        <v>Baixo</v>
      </c>
      <c r="M74" s="31" t="str">
        <f t="shared" si="2"/>
        <v>Aceito</v>
      </c>
      <c r="N74" s="31" t="str">
        <f t="shared" si="3"/>
        <v>Positiva</v>
      </c>
      <c r="O74" s="32">
        <v>69500.0</v>
      </c>
      <c r="P74" s="32">
        <f t="shared" si="4"/>
        <v>75060</v>
      </c>
      <c r="Q74" s="26">
        <f t="shared" si="5"/>
        <v>1</v>
      </c>
    </row>
    <row r="75">
      <c r="A75" s="33" t="s">
        <v>71</v>
      </c>
      <c r="B75" s="33" t="s">
        <v>547</v>
      </c>
      <c r="C75" s="34" t="s">
        <v>401</v>
      </c>
      <c r="D75" s="35">
        <v>55.0</v>
      </c>
      <c r="E75" s="36">
        <v>26104.0</v>
      </c>
      <c r="F75" s="33" t="s">
        <v>100</v>
      </c>
      <c r="G75" s="33" t="s">
        <v>88</v>
      </c>
      <c r="H75" s="37">
        <v>22100.0</v>
      </c>
      <c r="I75" s="37">
        <v>41500.0</v>
      </c>
      <c r="J75" s="35" t="s">
        <v>31</v>
      </c>
      <c r="K75" s="35">
        <v>18.0</v>
      </c>
      <c r="L75" s="33" t="str">
        <f t="shared" si="1"/>
        <v>Médio</v>
      </c>
      <c r="M75" s="38" t="str">
        <f t="shared" si="2"/>
        <v>Aceito</v>
      </c>
      <c r="N75" s="38" t="str">
        <f t="shared" si="3"/>
        <v>Positiva</v>
      </c>
      <c r="O75" s="39">
        <v>65000.0</v>
      </c>
      <c r="P75" s="39">
        <f t="shared" si="4"/>
        <v>70200</v>
      </c>
      <c r="Q75" s="33">
        <f t="shared" si="5"/>
        <v>1</v>
      </c>
    </row>
    <row r="76">
      <c r="A76" s="26" t="s">
        <v>71</v>
      </c>
      <c r="B76" s="26" t="s">
        <v>405</v>
      </c>
      <c r="C76" s="27" t="s">
        <v>406</v>
      </c>
      <c r="D76" s="28">
        <v>59.0</v>
      </c>
      <c r="E76" s="29">
        <v>24512.0</v>
      </c>
      <c r="F76" s="26" t="s">
        <v>306</v>
      </c>
      <c r="G76" s="26" t="s">
        <v>222</v>
      </c>
      <c r="H76" s="30">
        <v>6300.0</v>
      </c>
      <c r="I76" s="30">
        <v>15000.0</v>
      </c>
      <c r="J76" s="28" t="s">
        <v>31</v>
      </c>
      <c r="K76" s="28">
        <v>42.0</v>
      </c>
      <c r="L76" s="26" t="str">
        <f t="shared" si="1"/>
        <v>Alto</v>
      </c>
      <c r="M76" s="31" t="str">
        <f t="shared" si="2"/>
        <v>Aceito</v>
      </c>
      <c r="N76" s="31" t="str">
        <f t="shared" si="3"/>
        <v>Positiva</v>
      </c>
      <c r="O76" s="32">
        <v>8500.0</v>
      </c>
      <c r="P76" s="32">
        <f t="shared" si="4"/>
        <v>9180</v>
      </c>
      <c r="Q76" s="26">
        <f t="shared" si="5"/>
        <v>1</v>
      </c>
    </row>
    <row r="77">
      <c r="A77" s="33" t="s">
        <v>340</v>
      </c>
      <c r="B77" s="33" t="s">
        <v>407</v>
      </c>
      <c r="C77" s="34" t="s">
        <v>408</v>
      </c>
      <c r="D77" s="35">
        <v>70.0</v>
      </c>
      <c r="E77" s="36">
        <v>20502.0</v>
      </c>
      <c r="F77" s="33" t="s">
        <v>93</v>
      </c>
      <c r="G77" s="33" t="s">
        <v>94</v>
      </c>
      <c r="H77" s="37">
        <v>2500.0</v>
      </c>
      <c r="I77" s="37">
        <v>0.0</v>
      </c>
      <c r="J77" s="35" t="s">
        <v>31</v>
      </c>
      <c r="K77" s="35">
        <v>38.0</v>
      </c>
      <c r="L77" s="33" t="str">
        <f t="shared" si="1"/>
        <v>Alto</v>
      </c>
      <c r="M77" s="38" t="str">
        <f t="shared" si="2"/>
        <v>Aceito</v>
      </c>
      <c r="N77" s="38" t="str">
        <f t="shared" si="3"/>
        <v>Positiva</v>
      </c>
      <c r="O77" s="39">
        <v>44500.0</v>
      </c>
      <c r="P77" s="35">
        <f t="shared" si="4"/>
        <v>0</v>
      </c>
      <c r="Q77" s="33">
        <f t="shared" si="5"/>
        <v>1</v>
      </c>
    </row>
    <row r="78">
      <c r="A78" s="26" t="s">
        <v>71</v>
      </c>
      <c r="B78" s="26" t="s">
        <v>410</v>
      </c>
      <c r="C78" s="27" t="s">
        <v>411</v>
      </c>
      <c r="D78" s="28">
        <v>37.0</v>
      </c>
      <c r="E78" s="29">
        <v>32543.0</v>
      </c>
      <c r="F78" s="26" t="s">
        <v>221</v>
      </c>
      <c r="G78" s="26" t="s">
        <v>222</v>
      </c>
      <c r="H78" s="30">
        <v>29200.0</v>
      </c>
      <c r="I78" s="30">
        <v>45000.0</v>
      </c>
      <c r="J78" s="28" t="s">
        <v>31</v>
      </c>
      <c r="K78" s="28">
        <v>26.0</v>
      </c>
      <c r="L78" s="26" t="str">
        <f t="shared" si="1"/>
        <v>Alto</v>
      </c>
      <c r="M78" s="31" t="str">
        <f t="shared" si="2"/>
        <v>Aceito</v>
      </c>
      <c r="N78" s="31" t="str">
        <f t="shared" si="3"/>
        <v>Positiva</v>
      </c>
      <c r="O78" s="32">
        <v>23500.0</v>
      </c>
      <c r="P78" s="32">
        <f t="shared" si="4"/>
        <v>25380</v>
      </c>
      <c r="Q78" s="26">
        <f t="shared" si="5"/>
        <v>1</v>
      </c>
    </row>
    <row r="79">
      <c r="A79" s="33" t="s">
        <v>76</v>
      </c>
      <c r="B79" s="33" t="s">
        <v>413</v>
      </c>
      <c r="C79" s="34" t="s">
        <v>414</v>
      </c>
      <c r="D79" s="35">
        <v>27.0</v>
      </c>
      <c r="E79" s="36">
        <v>36308.0</v>
      </c>
      <c r="F79" s="33" t="s">
        <v>193</v>
      </c>
      <c r="G79" s="33" t="s">
        <v>195</v>
      </c>
      <c r="H79" s="37">
        <v>5300.0</v>
      </c>
      <c r="I79" s="37">
        <v>22000.0</v>
      </c>
      <c r="J79" s="35" t="s">
        <v>31</v>
      </c>
      <c r="K79" s="35">
        <v>11.0</v>
      </c>
      <c r="L79" s="33" t="str">
        <f t="shared" si="1"/>
        <v>Médio</v>
      </c>
      <c r="M79" s="38" t="str">
        <f t="shared" si="2"/>
        <v>Aceito</v>
      </c>
      <c r="N79" s="38" t="str">
        <f t="shared" si="3"/>
        <v>Positiva</v>
      </c>
      <c r="O79" s="39">
        <v>28500.0</v>
      </c>
      <c r="P79" s="35">
        <f t="shared" si="4"/>
        <v>0</v>
      </c>
      <c r="Q79" s="33">
        <f t="shared" si="5"/>
        <v>1</v>
      </c>
    </row>
    <row r="80">
      <c r="A80" s="26" t="s">
        <v>71</v>
      </c>
      <c r="B80" s="26" t="s">
        <v>416</v>
      </c>
      <c r="C80" s="27" t="s">
        <v>417</v>
      </c>
      <c r="D80" s="28">
        <v>56.0</v>
      </c>
      <c r="E80" s="29">
        <v>25874.0</v>
      </c>
      <c r="F80" s="26" t="s">
        <v>270</v>
      </c>
      <c r="G80" s="26" t="s">
        <v>270</v>
      </c>
      <c r="H80" s="30">
        <v>29100.0</v>
      </c>
      <c r="I80" s="30">
        <v>5500.0</v>
      </c>
      <c r="J80" s="28" t="s">
        <v>31</v>
      </c>
      <c r="K80" s="28">
        <v>11.0</v>
      </c>
      <c r="L80" s="26" t="str">
        <f t="shared" si="1"/>
        <v>Médio</v>
      </c>
      <c r="M80" s="31" t="str">
        <f t="shared" si="2"/>
        <v>Aceito</v>
      </c>
      <c r="N80" s="31" t="str">
        <f t="shared" si="3"/>
        <v>Positiva</v>
      </c>
      <c r="O80" s="32">
        <v>56000.0</v>
      </c>
      <c r="P80" s="32">
        <f t="shared" si="4"/>
        <v>60480</v>
      </c>
      <c r="Q80" s="26">
        <f t="shared" si="5"/>
        <v>1</v>
      </c>
    </row>
    <row r="81">
      <c r="A81" s="33" t="s">
        <v>71</v>
      </c>
      <c r="B81" s="33" t="s">
        <v>419</v>
      </c>
      <c r="C81" s="34" t="s">
        <v>420</v>
      </c>
      <c r="D81" s="35">
        <v>53.0</v>
      </c>
      <c r="E81" s="36">
        <v>26812.0</v>
      </c>
      <c r="F81" s="33" t="s">
        <v>115</v>
      </c>
      <c r="G81" s="33" t="s">
        <v>117</v>
      </c>
      <c r="H81" s="37">
        <v>27800.0</v>
      </c>
      <c r="I81" s="37">
        <v>52000.0</v>
      </c>
      <c r="J81" s="35" t="s">
        <v>31</v>
      </c>
      <c r="K81" s="35">
        <v>43.0</v>
      </c>
      <c r="L81" s="33" t="str">
        <f t="shared" si="1"/>
        <v>Alto</v>
      </c>
      <c r="M81" s="38" t="str">
        <f t="shared" si="2"/>
        <v>Aceito</v>
      </c>
      <c r="N81" s="38" t="str">
        <f t="shared" si="3"/>
        <v>Positiva</v>
      </c>
      <c r="O81" s="39">
        <v>93500.0</v>
      </c>
      <c r="P81" s="39">
        <f t="shared" si="4"/>
        <v>100980</v>
      </c>
      <c r="Q81" s="33">
        <f t="shared" si="5"/>
        <v>1</v>
      </c>
    </row>
    <row r="82">
      <c r="A82" s="26" t="s">
        <v>71</v>
      </c>
      <c r="B82" s="26" t="s">
        <v>423</v>
      </c>
      <c r="C82" s="27" t="s">
        <v>425</v>
      </c>
      <c r="D82" s="28">
        <v>40.0</v>
      </c>
      <c r="E82" s="29">
        <v>31647.0</v>
      </c>
      <c r="F82" s="26" t="s">
        <v>246</v>
      </c>
      <c r="G82" s="26" t="s">
        <v>205</v>
      </c>
      <c r="H82" s="30">
        <v>18700.0</v>
      </c>
      <c r="I82" s="30">
        <v>15000.0</v>
      </c>
      <c r="J82" s="28" t="s">
        <v>109</v>
      </c>
      <c r="K82" s="28">
        <v>26.0</v>
      </c>
      <c r="L82" s="26" t="str">
        <f t="shared" si="1"/>
        <v>Alto</v>
      </c>
      <c r="M82" s="31" t="str">
        <f t="shared" si="2"/>
        <v>Aceito</v>
      </c>
      <c r="N82" s="31" t="str">
        <f t="shared" si="3"/>
        <v>Positiva</v>
      </c>
      <c r="O82" s="32">
        <v>89500.0</v>
      </c>
      <c r="P82" s="32">
        <f t="shared" si="4"/>
        <v>96660</v>
      </c>
      <c r="Q82" s="26">
        <f t="shared" si="5"/>
        <v>1</v>
      </c>
    </row>
    <row r="83">
      <c r="A83" s="33" t="s">
        <v>71</v>
      </c>
      <c r="B83" s="33" t="s">
        <v>427</v>
      </c>
      <c r="C83" s="34">
        <v>34400.0</v>
      </c>
      <c r="D83" s="35">
        <v>64.0</v>
      </c>
      <c r="E83" s="36">
        <v>22836.0</v>
      </c>
      <c r="F83" s="33" t="s">
        <v>428</v>
      </c>
      <c r="G83" s="33" t="s">
        <v>79</v>
      </c>
      <c r="H83" s="37">
        <v>24300.0</v>
      </c>
      <c r="I83" s="37">
        <v>16.5</v>
      </c>
      <c r="J83" s="35" t="s">
        <v>32</v>
      </c>
      <c r="K83" s="35">
        <v>24.0</v>
      </c>
      <c r="L83" s="33" t="str">
        <f t="shared" si="1"/>
        <v>Médio</v>
      </c>
      <c r="M83" s="38" t="str">
        <f t="shared" si="2"/>
        <v>Aceito</v>
      </c>
      <c r="N83" s="38" t="str">
        <f t="shared" si="3"/>
        <v>Positiva</v>
      </c>
      <c r="O83" s="39">
        <v>57000.0</v>
      </c>
      <c r="P83" s="39">
        <f t="shared" si="4"/>
        <v>61560</v>
      </c>
      <c r="Q83" s="33">
        <f t="shared" si="5"/>
        <v>1</v>
      </c>
    </row>
    <row r="84">
      <c r="A84" s="26" t="s">
        <v>71</v>
      </c>
      <c r="B84" s="26" t="s">
        <v>429</v>
      </c>
      <c r="C84" s="27" t="s">
        <v>430</v>
      </c>
      <c r="D84" s="28">
        <v>25.0</v>
      </c>
      <c r="E84" s="29">
        <v>37091.0</v>
      </c>
      <c r="F84" s="26" t="s">
        <v>74</v>
      </c>
      <c r="G84" s="26" t="s">
        <v>75</v>
      </c>
      <c r="H84" s="30">
        <v>28800.0</v>
      </c>
      <c r="I84" s="30" t="s">
        <v>84</v>
      </c>
      <c r="J84" s="28" t="s">
        <v>31</v>
      </c>
      <c r="K84" s="28">
        <v>12.0</v>
      </c>
      <c r="L84" s="26" t="str">
        <f t="shared" si="1"/>
        <v>Médio</v>
      </c>
      <c r="M84" s="31" t="str">
        <f t="shared" si="2"/>
        <v>Aceito</v>
      </c>
      <c r="N84" s="31" t="str">
        <f t="shared" si="3"/>
        <v>Positiva</v>
      </c>
      <c r="O84" s="32">
        <v>46500.0</v>
      </c>
      <c r="P84" s="32">
        <f t="shared" si="4"/>
        <v>50220</v>
      </c>
      <c r="Q84" s="26">
        <f t="shared" si="5"/>
        <v>1</v>
      </c>
    </row>
    <row r="85">
      <c r="A85" s="33" t="s">
        <v>76</v>
      </c>
      <c r="B85" s="33" t="s">
        <v>432</v>
      </c>
      <c r="C85" s="34" t="s">
        <v>433</v>
      </c>
      <c r="D85" s="35">
        <v>55.0</v>
      </c>
      <c r="E85" s="36">
        <v>26161.0</v>
      </c>
      <c r="F85" s="33" t="s">
        <v>258</v>
      </c>
      <c r="G85" s="33" t="s">
        <v>222</v>
      </c>
      <c r="H85" s="37">
        <v>12200.0</v>
      </c>
      <c r="I85" s="37">
        <v>70500.0</v>
      </c>
      <c r="J85" s="35" t="s">
        <v>31</v>
      </c>
      <c r="K85" s="35">
        <v>33.0</v>
      </c>
      <c r="L85" s="33" t="str">
        <f t="shared" si="1"/>
        <v>Alto</v>
      </c>
      <c r="M85" s="38" t="str">
        <f t="shared" si="2"/>
        <v>Aceito</v>
      </c>
      <c r="N85" s="38" t="str">
        <f t="shared" si="3"/>
        <v>Positiva</v>
      </c>
      <c r="O85" s="39">
        <v>78000.0</v>
      </c>
      <c r="P85" s="35">
        <f t="shared" si="4"/>
        <v>0</v>
      </c>
      <c r="Q85" s="33">
        <f t="shared" si="5"/>
        <v>1</v>
      </c>
    </row>
    <row r="86">
      <c r="A86" s="26" t="s">
        <v>71</v>
      </c>
      <c r="B86" s="26" t="s">
        <v>438</v>
      </c>
      <c r="C86" s="27">
        <v>32000.0</v>
      </c>
      <c r="D86" s="28">
        <v>69.0</v>
      </c>
      <c r="E86" s="29">
        <v>21162.0</v>
      </c>
      <c r="F86" s="26" t="s">
        <v>203</v>
      </c>
      <c r="G86" s="26" t="s">
        <v>205</v>
      </c>
      <c r="H86" s="30">
        <v>11500.0</v>
      </c>
      <c r="I86" s="30">
        <v>17500.0</v>
      </c>
      <c r="J86" s="28" t="s">
        <v>31</v>
      </c>
      <c r="K86" s="28">
        <v>19.0</v>
      </c>
      <c r="L86" s="26" t="str">
        <f t="shared" si="1"/>
        <v>Médio</v>
      </c>
      <c r="M86" s="31" t="str">
        <f t="shared" si="2"/>
        <v>Aceito</v>
      </c>
      <c r="N86" s="31" t="str">
        <f t="shared" si="3"/>
        <v>Positiva</v>
      </c>
      <c r="O86" s="32">
        <v>26000.0</v>
      </c>
      <c r="P86" s="32">
        <f t="shared" si="4"/>
        <v>28080</v>
      </c>
      <c r="Q86" s="26">
        <f t="shared" si="5"/>
        <v>1</v>
      </c>
    </row>
    <row r="87">
      <c r="A87" s="33" t="s">
        <v>76</v>
      </c>
      <c r="B87" s="33" t="s">
        <v>439</v>
      </c>
      <c r="C87" s="34" t="s">
        <v>440</v>
      </c>
      <c r="D87" s="35">
        <v>38.0</v>
      </c>
      <c r="E87" s="36">
        <v>32412.0</v>
      </c>
      <c r="F87" s="33" t="s">
        <v>246</v>
      </c>
      <c r="G87" s="33" t="s">
        <v>205</v>
      </c>
      <c r="H87" s="37">
        <v>24700.0</v>
      </c>
      <c r="I87" s="37">
        <v>23000.0</v>
      </c>
      <c r="J87" s="35" t="s">
        <v>32</v>
      </c>
      <c r="K87" s="35">
        <v>10.0</v>
      </c>
      <c r="L87" s="33" t="str">
        <f t="shared" si="1"/>
        <v>Baixo</v>
      </c>
      <c r="M87" s="38" t="str">
        <f t="shared" si="2"/>
        <v>Aceito</v>
      </c>
      <c r="N87" s="38" t="str">
        <f t="shared" si="3"/>
        <v>Positiva</v>
      </c>
      <c r="O87" s="39">
        <v>37500.0</v>
      </c>
      <c r="P87" s="35">
        <f t="shared" si="4"/>
        <v>0</v>
      </c>
      <c r="Q87" s="33">
        <f t="shared" si="5"/>
        <v>1</v>
      </c>
    </row>
    <row r="88">
      <c r="A88" s="26" t="s">
        <v>71</v>
      </c>
      <c r="B88" s="26" t="s">
        <v>610</v>
      </c>
      <c r="C88" s="27" t="s">
        <v>444</v>
      </c>
      <c r="D88" s="28">
        <v>62.0</v>
      </c>
      <c r="E88" s="29">
        <v>23488.0</v>
      </c>
      <c r="F88" s="26" t="s">
        <v>74</v>
      </c>
      <c r="G88" s="26" t="s">
        <v>75</v>
      </c>
      <c r="H88" s="30">
        <v>0.0</v>
      </c>
      <c r="I88" s="30" t="s">
        <v>84</v>
      </c>
      <c r="J88" s="28" t="s">
        <v>31</v>
      </c>
      <c r="K88" s="28">
        <v>38.0</v>
      </c>
      <c r="L88" s="26" t="str">
        <f t="shared" si="1"/>
        <v>Alto</v>
      </c>
      <c r="M88" s="31" t="str">
        <f t="shared" si="2"/>
        <v>Aceito</v>
      </c>
      <c r="N88" s="31" t="str">
        <f t="shared" si="3"/>
        <v>Positiva</v>
      </c>
      <c r="O88" s="32">
        <v>72000.0</v>
      </c>
      <c r="P88" s="32">
        <f t="shared" si="4"/>
        <v>77760</v>
      </c>
      <c r="Q88" s="26">
        <f t="shared" si="5"/>
        <v>1</v>
      </c>
    </row>
    <row r="89">
      <c r="A89" s="33" t="s">
        <v>71</v>
      </c>
      <c r="B89" s="33" t="s">
        <v>445</v>
      </c>
      <c r="C89" s="34" t="s">
        <v>446</v>
      </c>
      <c r="D89" s="35">
        <v>24.0</v>
      </c>
      <c r="E89" s="36">
        <v>37491.0</v>
      </c>
      <c r="F89" s="33" t="s">
        <v>270</v>
      </c>
      <c r="G89" s="33" t="s">
        <v>270</v>
      </c>
      <c r="H89" s="37">
        <v>8900.0</v>
      </c>
      <c r="I89" s="37">
        <v>19500.0</v>
      </c>
      <c r="J89" s="35" t="s">
        <v>32</v>
      </c>
      <c r="K89" s="35">
        <v>33.0</v>
      </c>
      <c r="L89" s="33" t="str">
        <f t="shared" si="1"/>
        <v>Alto</v>
      </c>
      <c r="M89" s="38" t="str">
        <f t="shared" si="2"/>
        <v>Negado</v>
      </c>
      <c r="N89" s="38" t="str">
        <f t="shared" si="3"/>
        <v>Positiva</v>
      </c>
      <c r="O89" s="39">
        <v>96500.0</v>
      </c>
      <c r="P89" s="39">
        <f t="shared" si="4"/>
        <v>104220</v>
      </c>
      <c r="Q89" s="33">
        <f t="shared" si="5"/>
        <v>1</v>
      </c>
    </row>
    <row r="90">
      <c r="A90" s="26" t="s">
        <v>71</v>
      </c>
      <c r="B90" s="26" t="s">
        <v>450</v>
      </c>
      <c r="C90" s="27" t="s">
        <v>451</v>
      </c>
      <c r="D90" s="28">
        <v>127.0</v>
      </c>
      <c r="E90" s="29">
        <v>0.0</v>
      </c>
      <c r="F90" s="26" t="s">
        <v>221</v>
      </c>
      <c r="G90" s="26" t="s">
        <v>222</v>
      </c>
      <c r="H90" s="30">
        <v>28000.0</v>
      </c>
      <c r="I90" s="30">
        <v>76500.0</v>
      </c>
      <c r="J90" s="28" t="s">
        <v>31</v>
      </c>
      <c r="K90" s="28">
        <v>39.0</v>
      </c>
      <c r="L90" s="26" t="str">
        <f t="shared" si="1"/>
        <v>Alto</v>
      </c>
      <c r="M90" s="31" t="str">
        <f t="shared" si="2"/>
        <v>Aceito</v>
      </c>
      <c r="N90" s="31" t="str">
        <f t="shared" si="3"/>
        <v>Positiva</v>
      </c>
      <c r="O90" s="32">
        <v>32000.0</v>
      </c>
      <c r="P90" s="32">
        <f t="shared" si="4"/>
        <v>34560</v>
      </c>
      <c r="Q90" s="26">
        <f t="shared" si="5"/>
        <v>1</v>
      </c>
    </row>
    <row r="91">
      <c r="A91" s="33" t="s">
        <v>71</v>
      </c>
      <c r="B91" s="33" t="s">
        <v>453</v>
      </c>
      <c r="C91" s="34" t="s">
        <v>454</v>
      </c>
      <c r="D91" s="35">
        <v>41.0</v>
      </c>
      <c r="E91" s="36">
        <v>31408.0</v>
      </c>
      <c r="F91" s="33" t="s">
        <v>626</v>
      </c>
      <c r="G91" s="33" t="s">
        <v>117</v>
      </c>
      <c r="H91" s="37">
        <v>17400.0</v>
      </c>
      <c r="I91" s="37">
        <v>53.0</v>
      </c>
      <c r="J91" s="35" t="s">
        <v>32</v>
      </c>
      <c r="K91" s="35">
        <v>20.0</v>
      </c>
      <c r="L91" s="33" t="str">
        <f t="shared" si="1"/>
        <v>Médio</v>
      </c>
      <c r="M91" s="38" t="str">
        <f t="shared" si="2"/>
        <v>Aceito</v>
      </c>
      <c r="N91" s="38" t="str">
        <f t="shared" si="3"/>
        <v>Positiva</v>
      </c>
      <c r="O91" s="39">
        <v>52500.0</v>
      </c>
      <c r="P91" s="39">
        <f t="shared" si="4"/>
        <v>56700</v>
      </c>
      <c r="Q91" s="33">
        <f t="shared" si="5"/>
        <v>1</v>
      </c>
    </row>
    <row r="92">
      <c r="A92" s="26" t="s">
        <v>76</v>
      </c>
      <c r="B92" s="26" t="s">
        <v>456</v>
      </c>
      <c r="C92" s="27" t="s">
        <v>457</v>
      </c>
      <c r="D92" s="28">
        <v>60.0</v>
      </c>
      <c r="E92" s="29">
        <v>24362.0</v>
      </c>
      <c r="F92" s="26" t="s">
        <v>255</v>
      </c>
      <c r="G92" s="26" t="s">
        <v>205</v>
      </c>
      <c r="H92" s="30">
        <v>18900.0</v>
      </c>
      <c r="I92" s="30">
        <v>1000.0</v>
      </c>
      <c r="J92" s="28" t="s">
        <v>32</v>
      </c>
      <c r="K92" s="28">
        <v>42.0</v>
      </c>
      <c r="L92" s="26" t="str">
        <f t="shared" si="1"/>
        <v>Alto</v>
      </c>
      <c r="M92" s="31" t="str">
        <f t="shared" si="2"/>
        <v>Negado</v>
      </c>
      <c r="N92" s="31" t="str">
        <f t="shared" si="3"/>
        <v>Positiva</v>
      </c>
      <c r="O92" s="32">
        <v>16500.0</v>
      </c>
      <c r="P92" s="28">
        <f t="shared" si="4"/>
        <v>0</v>
      </c>
      <c r="Q92" s="26">
        <f t="shared" si="5"/>
        <v>1</v>
      </c>
    </row>
    <row r="93">
      <c r="A93" s="33" t="s">
        <v>76</v>
      </c>
      <c r="B93" s="33" t="s">
        <v>635</v>
      </c>
      <c r="C93" s="34" t="s">
        <v>459</v>
      </c>
      <c r="D93" s="35">
        <v>73.0</v>
      </c>
      <c r="E93" s="36">
        <v>19672.0</v>
      </c>
      <c r="F93" s="33" t="s">
        <v>270</v>
      </c>
      <c r="G93" s="33" t="s">
        <v>270</v>
      </c>
      <c r="H93" s="37">
        <v>21000.0</v>
      </c>
      <c r="I93" s="37">
        <v>0.0</v>
      </c>
      <c r="J93" s="35" t="s">
        <v>31</v>
      </c>
      <c r="K93" s="35">
        <v>11.0</v>
      </c>
      <c r="L93" s="33" t="str">
        <f t="shared" si="1"/>
        <v>Médio</v>
      </c>
      <c r="M93" s="38" t="str">
        <f t="shared" si="2"/>
        <v>Aceito</v>
      </c>
      <c r="N93" s="38" t="str">
        <f t="shared" si="3"/>
        <v>Positiva</v>
      </c>
      <c r="O93" s="39">
        <v>75500.0</v>
      </c>
      <c r="P93" s="35">
        <f t="shared" si="4"/>
        <v>0</v>
      </c>
      <c r="Q93" s="33">
        <f t="shared" si="5"/>
        <v>1</v>
      </c>
    </row>
    <row r="94">
      <c r="A94" s="26" t="s">
        <v>76</v>
      </c>
      <c r="B94" s="26" t="s">
        <v>460</v>
      </c>
      <c r="C94" s="27" t="s">
        <v>461</v>
      </c>
      <c r="D94" s="28">
        <v>43.0</v>
      </c>
      <c r="E94" s="29">
        <v>30666.0</v>
      </c>
      <c r="F94" s="26" t="s">
        <v>82</v>
      </c>
      <c r="G94" s="26" t="s">
        <v>83</v>
      </c>
      <c r="H94" s="30">
        <v>6000.0</v>
      </c>
      <c r="I94" s="30">
        <v>55000.0</v>
      </c>
      <c r="J94" s="28" t="s">
        <v>31</v>
      </c>
      <c r="K94" s="28">
        <v>5.0</v>
      </c>
      <c r="L94" s="26" t="str">
        <f t="shared" si="1"/>
        <v>Baixo</v>
      </c>
      <c r="M94" s="31" t="str">
        <f t="shared" si="2"/>
        <v>Aceito</v>
      </c>
      <c r="N94" s="31" t="str">
        <f t="shared" si="3"/>
        <v>Positiva</v>
      </c>
      <c r="O94" s="32">
        <v>10000.0</v>
      </c>
      <c r="P94" s="28">
        <f t="shared" si="4"/>
        <v>0</v>
      </c>
      <c r="Q94" s="26">
        <f t="shared" si="5"/>
        <v>1</v>
      </c>
    </row>
    <row r="95">
      <c r="A95" s="33" t="s">
        <v>71</v>
      </c>
      <c r="B95" s="33" t="s">
        <v>465</v>
      </c>
      <c r="C95" s="34" t="s">
        <v>466</v>
      </c>
      <c r="D95" s="35">
        <v>61.0</v>
      </c>
      <c r="E95" s="36">
        <v>23905.0</v>
      </c>
      <c r="F95" s="33" t="s">
        <v>342</v>
      </c>
      <c r="G95" s="33" t="s">
        <v>437</v>
      </c>
      <c r="H95" s="37">
        <v>13800.0</v>
      </c>
      <c r="I95" s="37">
        <v>45500.0</v>
      </c>
      <c r="J95" s="35" t="s">
        <v>31</v>
      </c>
      <c r="K95" s="35">
        <v>30.0</v>
      </c>
      <c r="L95" s="33" t="str">
        <f t="shared" si="1"/>
        <v>Alto</v>
      </c>
      <c r="M95" s="38" t="str">
        <f t="shared" si="2"/>
        <v>Aceito</v>
      </c>
      <c r="N95" s="38" t="str">
        <f t="shared" si="3"/>
        <v>Positiva</v>
      </c>
      <c r="O95" s="39">
        <v>17500.0</v>
      </c>
      <c r="P95" s="39">
        <f t="shared" si="4"/>
        <v>18900</v>
      </c>
      <c r="Q95" s="33">
        <f t="shared" si="5"/>
        <v>1</v>
      </c>
    </row>
    <row r="96">
      <c r="A96" s="26" t="s">
        <v>71</v>
      </c>
      <c r="B96" s="26" t="s">
        <v>469</v>
      </c>
      <c r="C96" s="27" t="s">
        <v>470</v>
      </c>
      <c r="D96" s="28">
        <v>37.0</v>
      </c>
      <c r="E96" s="29">
        <v>32791.0</v>
      </c>
      <c r="F96" s="26" t="s">
        <v>258</v>
      </c>
      <c r="G96" s="26" t="s">
        <v>222</v>
      </c>
      <c r="H96" s="30">
        <v>23900.0</v>
      </c>
      <c r="I96" s="30">
        <v>58000.0</v>
      </c>
      <c r="J96" s="28" t="s">
        <v>31</v>
      </c>
      <c r="K96" s="28">
        <v>27.0</v>
      </c>
      <c r="L96" s="26" t="str">
        <f t="shared" si="1"/>
        <v>Alto</v>
      </c>
      <c r="M96" s="31" t="str">
        <f t="shared" si="2"/>
        <v>Aceito</v>
      </c>
      <c r="N96" s="31" t="str">
        <f t="shared" si="3"/>
        <v>Positiva</v>
      </c>
      <c r="O96" s="32">
        <v>38000.0</v>
      </c>
      <c r="P96" s="32">
        <f t="shared" si="4"/>
        <v>41040</v>
      </c>
      <c r="Q96" s="26">
        <f t="shared" si="5"/>
        <v>1</v>
      </c>
    </row>
    <row r="97">
      <c r="A97" s="33" t="s">
        <v>71</v>
      </c>
      <c r="B97" s="33" t="s">
        <v>471</v>
      </c>
      <c r="C97" s="34" t="s">
        <v>472</v>
      </c>
      <c r="D97" s="35">
        <v>74.0</v>
      </c>
      <c r="E97" s="36">
        <v>19121.0</v>
      </c>
      <c r="F97" s="33" t="s">
        <v>203</v>
      </c>
      <c r="G97" s="33" t="s">
        <v>205</v>
      </c>
      <c r="H97" s="37">
        <v>7300.0</v>
      </c>
      <c r="I97" s="37">
        <v>1000.0</v>
      </c>
      <c r="J97" s="35" t="s">
        <v>31</v>
      </c>
      <c r="K97" s="35">
        <v>3.0</v>
      </c>
      <c r="L97" s="33" t="str">
        <f t="shared" si="1"/>
        <v>Baixo</v>
      </c>
      <c r="M97" s="38" t="str">
        <f t="shared" si="2"/>
        <v>Aceito</v>
      </c>
      <c r="N97" s="38" t="str">
        <f t="shared" si="3"/>
        <v>Positiva</v>
      </c>
      <c r="O97" s="39">
        <v>50500.0</v>
      </c>
      <c r="P97" s="39">
        <f t="shared" si="4"/>
        <v>54540</v>
      </c>
      <c r="Q97" s="33">
        <f t="shared" si="5"/>
        <v>1</v>
      </c>
    </row>
    <row r="98">
      <c r="A98" s="26" t="s">
        <v>76</v>
      </c>
      <c r="B98" s="26" t="s">
        <v>474</v>
      </c>
      <c r="C98" s="27">
        <v>20700.0</v>
      </c>
      <c r="D98" s="28">
        <v>66.0</v>
      </c>
      <c r="E98" s="29">
        <v>22151.0</v>
      </c>
      <c r="F98" s="26" t="s">
        <v>361</v>
      </c>
      <c r="G98" s="26" t="s">
        <v>205</v>
      </c>
      <c r="H98" s="30">
        <v>28800.0</v>
      </c>
      <c r="I98" s="30">
        <v>16000.0</v>
      </c>
      <c r="J98" s="28" t="s">
        <v>32</v>
      </c>
      <c r="K98" s="28">
        <v>44.0</v>
      </c>
      <c r="L98" s="26" t="str">
        <f t="shared" si="1"/>
        <v>Alto</v>
      </c>
      <c r="M98" s="31" t="str">
        <f t="shared" si="2"/>
        <v>Negado</v>
      </c>
      <c r="N98" s="31" t="str">
        <f t="shared" si="3"/>
        <v>Positiva</v>
      </c>
      <c r="O98" s="32">
        <v>59000.0</v>
      </c>
      <c r="P98" s="28">
        <f t="shared" si="4"/>
        <v>0</v>
      </c>
      <c r="Q98" s="26">
        <f t="shared" si="5"/>
        <v>1</v>
      </c>
    </row>
    <row r="99">
      <c r="A99" s="33" t="s">
        <v>71</v>
      </c>
      <c r="B99" s="33" t="s">
        <v>481</v>
      </c>
      <c r="C99" s="34" t="s">
        <v>482</v>
      </c>
      <c r="D99" s="35">
        <v>34.0</v>
      </c>
      <c r="E99" s="36">
        <v>33835.0</v>
      </c>
      <c r="F99" s="33" t="s">
        <v>672</v>
      </c>
      <c r="G99" s="33" t="s">
        <v>222</v>
      </c>
      <c r="H99" s="37">
        <v>5100.0</v>
      </c>
      <c r="I99" s="37">
        <v>17000.0</v>
      </c>
      <c r="J99" s="35" t="s">
        <v>31</v>
      </c>
      <c r="K99" s="35">
        <v>3.0</v>
      </c>
      <c r="L99" s="33" t="str">
        <f t="shared" si="1"/>
        <v>Baixo</v>
      </c>
      <c r="M99" s="38" t="str">
        <f t="shared" si="2"/>
        <v>Aceito</v>
      </c>
      <c r="N99" s="38" t="str">
        <f t="shared" si="3"/>
        <v>Positiva</v>
      </c>
      <c r="O99" s="39">
        <v>4500.0</v>
      </c>
      <c r="P99" s="39">
        <f t="shared" si="4"/>
        <v>4860</v>
      </c>
      <c r="Q99" s="33">
        <f t="shared" si="5"/>
        <v>1</v>
      </c>
    </row>
    <row r="100">
      <c r="A100" s="26" t="s">
        <v>76</v>
      </c>
      <c r="B100" s="26" t="s">
        <v>438</v>
      </c>
      <c r="C100" s="27" t="s">
        <v>488</v>
      </c>
      <c r="D100" s="28">
        <v>65.0</v>
      </c>
      <c r="E100" s="29">
        <v>22377.0</v>
      </c>
      <c r="F100" s="26" t="s">
        <v>74</v>
      </c>
      <c r="G100" s="26" t="s">
        <v>75</v>
      </c>
      <c r="H100" s="30">
        <v>12700.0</v>
      </c>
      <c r="I100" s="30">
        <v>60500.0</v>
      </c>
      <c r="J100" s="28" t="s">
        <v>31</v>
      </c>
      <c r="K100" s="28">
        <v>36.0</v>
      </c>
      <c r="L100" s="26" t="str">
        <f t="shared" si="1"/>
        <v>Alto</v>
      </c>
      <c r="M100" s="31" t="str">
        <f t="shared" si="2"/>
        <v>Aceito</v>
      </c>
      <c r="N100" s="31" t="str">
        <f t="shared" si="3"/>
        <v>Positiva</v>
      </c>
      <c r="O100" s="32">
        <v>28000.0</v>
      </c>
      <c r="P100" s="28">
        <f t="shared" si="4"/>
        <v>0</v>
      </c>
      <c r="Q100" s="26">
        <f t="shared" si="5"/>
        <v>1</v>
      </c>
    </row>
    <row r="101">
      <c r="A101" s="33" t="s">
        <v>71</v>
      </c>
      <c r="B101" s="33" t="s">
        <v>680</v>
      </c>
      <c r="C101" s="34" t="s">
        <v>491</v>
      </c>
      <c r="D101" s="35">
        <v>68.0</v>
      </c>
      <c r="E101" s="36">
        <v>21205.0</v>
      </c>
      <c r="F101" s="33" t="s">
        <v>258</v>
      </c>
      <c r="G101" s="33" t="s">
        <v>222</v>
      </c>
      <c r="H101" s="37">
        <v>8200.0</v>
      </c>
      <c r="I101" s="37">
        <v>66000.0</v>
      </c>
      <c r="J101" s="35" t="s">
        <v>31</v>
      </c>
      <c r="K101" s="35">
        <v>16.0</v>
      </c>
      <c r="L101" s="33" t="str">
        <f t="shared" si="1"/>
        <v>Médio</v>
      </c>
      <c r="M101" s="38" t="str">
        <f t="shared" si="2"/>
        <v>Aceito</v>
      </c>
      <c r="N101" s="38" t="str">
        <f t="shared" si="3"/>
        <v>Positiva</v>
      </c>
      <c r="O101" s="39">
        <v>84000.0</v>
      </c>
      <c r="P101" s="39">
        <f t="shared" si="4"/>
        <v>90720</v>
      </c>
      <c r="Q101" s="33">
        <f t="shared" si="5"/>
        <v>1</v>
      </c>
    </row>
    <row r="102">
      <c r="A102" s="26" t="s">
        <v>76</v>
      </c>
      <c r="B102" s="26" t="s">
        <v>494</v>
      </c>
      <c r="C102" s="27" t="s">
        <v>495</v>
      </c>
      <c r="D102" s="28">
        <v>59.0</v>
      </c>
      <c r="E102" s="29">
        <v>24554.0</v>
      </c>
      <c r="F102" s="26" t="s">
        <v>115</v>
      </c>
      <c r="G102" s="26" t="s">
        <v>117</v>
      </c>
      <c r="H102" s="30">
        <v>15200.0</v>
      </c>
      <c r="I102" s="30">
        <v>11000.0</v>
      </c>
      <c r="J102" s="28" t="s">
        <v>31</v>
      </c>
      <c r="K102" s="28">
        <v>27.0</v>
      </c>
      <c r="L102" s="26" t="str">
        <f t="shared" si="1"/>
        <v>Alto</v>
      </c>
      <c r="M102" s="31" t="str">
        <f t="shared" si="2"/>
        <v>Aceito</v>
      </c>
      <c r="N102" s="31" t="str">
        <f t="shared" si="3"/>
        <v>Positiva</v>
      </c>
      <c r="O102" s="32">
        <v>87000.0</v>
      </c>
      <c r="P102" s="28">
        <f t="shared" si="4"/>
        <v>0</v>
      </c>
      <c r="Q102" s="26">
        <f t="shared" si="5"/>
        <v>1</v>
      </c>
    </row>
    <row r="103">
      <c r="A103" s="33" t="s">
        <v>71</v>
      </c>
      <c r="B103" s="33" t="s">
        <v>498</v>
      </c>
      <c r="C103" s="34" t="s">
        <v>499</v>
      </c>
      <c r="D103" s="35">
        <v>29.0</v>
      </c>
      <c r="E103" s="36">
        <v>35600.0</v>
      </c>
      <c r="F103" s="33" t="s">
        <v>316</v>
      </c>
      <c r="G103" s="33" t="s">
        <v>83</v>
      </c>
      <c r="H103" s="37">
        <v>10000.0</v>
      </c>
      <c r="I103" s="37">
        <v>25500.0</v>
      </c>
      <c r="J103" s="35" t="s">
        <v>31</v>
      </c>
      <c r="K103" s="35">
        <v>15.0</v>
      </c>
      <c r="L103" s="33" t="str">
        <f t="shared" si="1"/>
        <v>Médio</v>
      </c>
      <c r="M103" s="38" t="str">
        <f t="shared" si="2"/>
        <v>Aceito</v>
      </c>
      <c r="N103" s="38" t="str">
        <f t="shared" si="3"/>
        <v>Positiva</v>
      </c>
      <c r="O103" s="39">
        <v>66000.0</v>
      </c>
      <c r="P103" s="39">
        <f t="shared" si="4"/>
        <v>71280</v>
      </c>
      <c r="Q103" s="33">
        <f t="shared" si="5"/>
        <v>1</v>
      </c>
    </row>
    <row r="104">
      <c r="A104" s="26" t="s">
        <v>71</v>
      </c>
      <c r="B104" s="26" t="s">
        <v>501</v>
      </c>
      <c r="C104" s="27" t="s">
        <v>502</v>
      </c>
      <c r="D104" s="28">
        <v>70.0</v>
      </c>
      <c r="E104" s="29">
        <v>20725.0</v>
      </c>
      <c r="F104" s="26" t="s">
        <v>193</v>
      </c>
      <c r="G104" s="26" t="s">
        <v>195</v>
      </c>
      <c r="H104" s="30">
        <v>8100.0</v>
      </c>
      <c r="I104" s="30">
        <v>27500.0</v>
      </c>
      <c r="J104" s="28" t="s">
        <v>31</v>
      </c>
      <c r="K104" s="28">
        <v>42.0</v>
      </c>
      <c r="L104" s="26" t="str">
        <f t="shared" si="1"/>
        <v>Alto</v>
      </c>
      <c r="M104" s="31" t="str">
        <f t="shared" si="2"/>
        <v>Aceito</v>
      </c>
      <c r="N104" s="31" t="str">
        <f t="shared" si="3"/>
        <v>Positiva</v>
      </c>
      <c r="O104" s="32">
        <v>72500.0</v>
      </c>
      <c r="P104" s="32">
        <f t="shared" si="4"/>
        <v>78300</v>
      </c>
      <c r="Q104" s="26">
        <f t="shared" si="5"/>
        <v>1</v>
      </c>
    </row>
    <row r="105">
      <c r="A105" s="33" t="s">
        <v>71</v>
      </c>
      <c r="B105" s="33" t="s">
        <v>410</v>
      </c>
      <c r="C105" s="34" t="s">
        <v>411</v>
      </c>
      <c r="D105" s="35">
        <v>37.0</v>
      </c>
      <c r="E105" s="36">
        <v>32543.0</v>
      </c>
      <c r="F105" s="33" t="s">
        <v>221</v>
      </c>
      <c r="G105" s="33" t="s">
        <v>222</v>
      </c>
      <c r="H105" s="37">
        <v>29200.0</v>
      </c>
      <c r="I105" s="37">
        <v>45000.0</v>
      </c>
      <c r="J105" s="35" t="s">
        <v>31</v>
      </c>
      <c r="K105" s="35">
        <v>26.0</v>
      </c>
      <c r="L105" s="33" t="str">
        <f t="shared" si="1"/>
        <v>Alto</v>
      </c>
      <c r="M105" s="38" t="str">
        <f t="shared" si="2"/>
        <v>Aceito</v>
      </c>
      <c r="N105" s="38" t="str">
        <f t="shared" si="3"/>
        <v>Positiva</v>
      </c>
      <c r="O105" s="39">
        <v>78000.0</v>
      </c>
      <c r="P105" s="39">
        <f t="shared" si="4"/>
        <v>84240</v>
      </c>
      <c r="Q105" s="33">
        <f t="shared" si="5"/>
        <v>1</v>
      </c>
    </row>
    <row r="106">
      <c r="A106" s="26" t="s">
        <v>71</v>
      </c>
      <c r="B106" s="26" t="s">
        <v>715</v>
      </c>
      <c r="C106" s="27" t="s">
        <v>505</v>
      </c>
      <c r="D106" s="28">
        <v>30.0</v>
      </c>
      <c r="E106" s="29">
        <v>35200.0</v>
      </c>
      <c r="F106" s="26" t="s">
        <v>136</v>
      </c>
      <c r="G106" s="26" t="s">
        <v>117</v>
      </c>
      <c r="H106" s="30">
        <v>26500.0</v>
      </c>
      <c r="I106" s="30">
        <v>14500.0</v>
      </c>
      <c r="J106" s="28" t="s">
        <v>109</v>
      </c>
      <c r="K106" s="28">
        <v>15.0</v>
      </c>
      <c r="L106" s="26" t="str">
        <f t="shared" si="1"/>
        <v>Médio</v>
      </c>
      <c r="M106" s="31" t="str">
        <f t="shared" si="2"/>
        <v>Aceito</v>
      </c>
      <c r="N106" s="31" t="str">
        <f t="shared" si="3"/>
        <v>Positiva</v>
      </c>
      <c r="O106" s="32">
        <v>65500.0</v>
      </c>
      <c r="P106" s="32">
        <f t="shared" si="4"/>
        <v>70740</v>
      </c>
      <c r="Q106" s="26">
        <f t="shared" si="5"/>
        <v>1</v>
      </c>
    </row>
    <row r="107">
      <c r="A107" s="33" t="s">
        <v>76</v>
      </c>
      <c r="B107" s="33" t="s">
        <v>507</v>
      </c>
      <c r="C107" s="34" t="s">
        <v>508</v>
      </c>
      <c r="D107" s="35">
        <v>58.0</v>
      </c>
      <c r="E107" s="36">
        <v>24905.0</v>
      </c>
      <c r="F107" s="33" t="s">
        <v>115</v>
      </c>
      <c r="G107" s="33" t="s">
        <v>117</v>
      </c>
      <c r="H107" s="37">
        <v>12400.0</v>
      </c>
      <c r="I107" s="37">
        <v>21.5</v>
      </c>
      <c r="J107" s="35" t="s">
        <v>32</v>
      </c>
      <c r="K107" s="35">
        <v>24.0</v>
      </c>
      <c r="L107" s="33" t="str">
        <f t="shared" si="1"/>
        <v>Médio</v>
      </c>
      <c r="M107" s="38" t="str">
        <f t="shared" si="2"/>
        <v>Aceito</v>
      </c>
      <c r="N107" s="38" t="str">
        <f t="shared" si="3"/>
        <v>Positiva</v>
      </c>
      <c r="O107" s="39">
        <v>80000.0</v>
      </c>
      <c r="P107" s="35">
        <f t="shared" si="4"/>
        <v>0</v>
      </c>
      <c r="Q107" s="33">
        <f t="shared" si="5"/>
        <v>1</v>
      </c>
    </row>
    <row r="108">
      <c r="A108" s="26" t="s">
        <v>71</v>
      </c>
      <c r="B108" s="26" t="s">
        <v>510</v>
      </c>
      <c r="C108" s="27">
        <v>24000.0</v>
      </c>
      <c r="D108" s="28">
        <v>47.0</v>
      </c>
      <c r="E108" s="29">
        <v>29031.0</v>
      </c>
      <c r="F108" s="26" t="s">
        <v>725</v>
      </c>
      <c r="G108" s="26" t="s">
        <v>117</v>
      </c>
      <c r="H108" s="30">
        <v>28400.0</v>
      </c>
      <c r="I108" s="30">
        <v>78000.0</v>
      </c>
      <c r="J108" s="28" t="s">
        <v>31</v>
      </c>
      <c r="K108" s="28">
        <v>37.0</v>
      </c>
      <c r="L108" s="26" t="str">
        <f t="shared" si="1"/>
        <v>Alto</v>
      </c>
      <c r="M108" s="31" t="str">
        <f t="shared" si="2"/>
        <v>Aceito</v>
      </c>
      <c r="N108" s="31" t="str">
        <f t="shared" si="3"/>
        <v>Positiva</v>
      </c>
      <c r="O108" s="32">
        <v>99000.0</v>
      </c>
      <c r="P108" s="32">
        <f t="shared" si="4"/>
        <v>106920</v>
      </c>
      <c r="Q108" s="26">
        <f t="shared" si="5"/>
        <v>1</v>
      </c>
    </row>
    <row r="109">
      <c r="A109" s="33" t="s">
        <v>71</v>
      </c>
      <c r="B109" s="33" t="s">
        <v>730</v>
      </c>
      <c r="C109" s="34" t="s">
        <v>514</v>
      </c>
      <c r="D109" s="35">
        <v>31.0</v>
      </c>
      <c r="E109" s="36">
        <v>34736.0</v>
      </c>
      <c r="F109" s="33" t="s">
        <v>361</v>
      </c>
      <c r="G109" s="33" t="s">
        <v>205</v>
      </c>
      <c r="H109" s="37">
        <v>20500.0</v>
      </c>
      <c r="I109" s="37">
        <v>47500.0</v>
      </c>
      <c r="J109" s="35" t="s">
        <v>31</v>
      </c>
      <c r="K109" s="35">
        <v>11.0</v>
      </c>
      <c r="L109" s="33" t="str">
        <f t="shared" si="1"/>
        <v>Médio</v>
      </c>
      <c r="M109" s="38" t="str">
        <f t="shared" si="2"/>
        <v>Aceito</v>
      </c>
      <c r="N109" s="38" t="str">
        <f t="shared" si="3"/>
        <v>Positiva</v>
      </c>
      <c r="O109" s="39">
        <v>18500.0</v>
      </c>
      <c r="P109" s="39">
        <f t="shared" si="4"/>
        <v>19980</v>
      </c>
      <c r="Q109" s="33">
        <f t="shared" si="5"/>
        <v>1</v>
      </c>
    </row>
    <row r="110">
      <c r="A110" s="26" t="s">
        <v>71</v>
      </c>
      <c r="B110" s="26" t="s">
        <v>517</v>
      </c>
      <c r="C110" s="27" t="s">
        <v>518</v>
      </c>
      <c r="D110" s="28">
        <v>63.0</v>
      </c>
      <c r="E110" s="29">
        <v>23084.0</v>
      </c>
      <c r="F110" s="26" t="s">
        <v>221</v>
      </c>
      <c r="G110" s="26" t="s">
        <v>222</v>
      </c>
      <c r="H110" s="30">
        <v>17300.0</v>
      </c>
      <c r="I110" s="30">
        <v>22000.0</v>
      </c>
      <c r="J110" s="28" t="s">
        <v>31</v>
      </c>
      <c r="K110" s="28">
        <v>10.0</v>
      </c>
      <c r="L110" s="26" t="str">
        <f t="shared" si="1"/>
        <v>Baixo</v>
      </c>
      <c r="M110" s="31" t="str">
        <f t="shared" si="2"/>
        <v>Aceito</v>
      </c>
      <c r="N110" s="31" t="str">
        <f t="shared" si="3"/>
        <v>Positiva</v>
      </c>
      <c r="O110" s="32">
        <v>97000.0</v>
      </c>
      <c r="P110" s="32">
        <f t="shared" si="4"/>
        <v>104760</v>
      </c>
      <c r="Q110" s="26">
        <f t="shared" si="5"/>
        <v>1</v>
      </c>
    </row>
    <row r="111">
      <c r="A111" s="33" t="s">
        <v>71</v>
      </c>
      <c r="B111" s="33" t="s">
        <v>519</v>
      </c>
      <c r="C111" s="34">
        <v>12700.0</v>
      </c>
      <c r="D111" s="35">
        <v>27.0</v>
      </c>
      <c r="E111" s="36">
        <v>36518.0</v>
      </c>
      <c r="F111" s="33" t="s">
        <v>234</v>
      </c>
      <c r="G111" s="33" t="s">
        <v>205</v>
      </c>
      <c r="H111" s="37">
        <v>5000.0</v>
      </c>
      <c r="I111" s="37">
        <v>61500.0</v>
      </c>
      <c r="J111" s="35" t="s">
        <v>31</v>
      </c>
      <c r="K111" s="35">
        <v>35.0</v>
      </c>
      <c r="L111" s="33" t="str">
        <f t="shared" si="1"/>
        <v>Alto</v>
      </c>
      <c r="M111" s="38" t="str">
        <f t="shared" si="2"/>
        <v>Aceito</v>
      </c>
      <c r="N111" s="38" t="str">
        <f t="shared" si="3"/>
        <v>Positiva</v>
      </c>
      <c r="O111" s="39">
        <v>18500.0</v>
      </c>
      <c r="P111" s="39">
        <f t="shared" si="4"/>
        <v>19980</v>
      </c>
      <c r="Q111" s="33">
        <f t="shared" si="5"/>
        <v>1</v>
      </c>
    </row>
    <row r="112">
      <c r="A112" s="26" t="s">
        <v>71</v>
      </c>
      <c r="B112" s="26" t="s">
        <v>523</v>
      </c>
      <c r="C112" s="27">
        <v>18000.0</v>
      </c>
      <c r="D112" s="28">
        <v>30.0</v>
      </c>
      <c r="E112" s="29">
        <v>35344.0</v>
      </c>
      <c r="F112" s="26" t="s">
        <v>74</v>
      </c>
      <c r="G112" s="26" t="s">
        <v>75</v>
      </c>
      <c r="H112" s="30">
        <v>19900.0</v>
      </c>
      <c r="I112" s="30">
        <v>49500.0</v>
      </c>
      <c r="J112" s="28" t="s">
        <v>32</v>
      </c>
      <c r="K112" s="28">
        <v>27.0</v>
      </c>
      <c r="L112" s="26" t="str">
        <f t="shared" si="1"/>
        <v>Alto</v>
      </c>
      <c r="M112" s="31" t="str">
        <f t="shared" si="2"/>
        <v>Negado</v>
      </c>
      <c r="N112" s="31" t="str">
        <f t="shared" si="3"/>
        <v>Positiva</v>
      </c>
      <c r="O112" s="32">
        <v>23000.0</v>
      </c>
      <c r="P112" s="32">
        <f t="shared" si="4"/>
        <v>24840</v>
      </c>
      <c r="Q112" s="26">
        <f t="shared" si="5"/>
        <v>1</v>
      </c>
    </row>
    <row r="113">
      <c r="A113" s="33" t="s">
        <v>71</v>
      </c>
      <c r="B113" s="33" t="s">
        <v>524</v>
      </c>
      <c r="C113" s="34" t="s">
        <v>525</v>
      </c>
      <c r="D113" s="35">
        <v>51.0</v>
      </c>
      <c r="E113" s="36">
        <v>27413.0</v>
      </c>
      <c r="F113" s="33" t="s">
        <v>246</v>
      </c>
      <c r="G113" s="33" t="s">
        <v>205</v>
      </c>
      <c r="H113" s="37">
        <v>18500.0</v>
      </c>
      <c r="I113" s="37">
        <v>69.5</v>
      </c>
      <c r="J113" s="35" t="s">
        <v>31</v>
      </c>
      <c r="K113" s="35">
        <v>31.0</v>
      </c>
      <c r="L113" s="33" t="str">
        <f t="shared" si="1"/>
        <v>Alto</v>
      </c>
      <c r="M113" s="38" t="str">
        <f t="shared" si="2"/>
        <v>Aceito</v>
      </c>
      <c r="N113" s="38" t="str">
        <f t="shared" si="3"/>
        <v>Positiva</v>
      </c>
      <c r="O113" s="39">
        <v>18000.0</v>
      </c>
      <c r="P113" s="39">
        <f t="shared" si="4"/>
        <v>19440</v>
      </c>
      <c r="Q113" s="33">
        <f t="shared" si="5"/>
        <v>1</v>
      </c>
    </row>
    <row r="114">
      <c r="A114" s="26" t="s">
        <v>71</v>
      </c>
      <c r="B114" s="26" t="s">
        <v>528</v>
      </c>
      <c r="C114" s="27" t="s">
        <v>529</v>
      </c>
      <c r="D114" s="28">
        <v>47.0</v>
      </c>
      <c r="E114" s="29">
        <v>29079.0</v>
      </c>
      <c r="F114" s="26" t="s">
        <v>115</v>
      </c>
      <c r="G114" s="26" t="s">
        <v>117</v>
      </c>
      <c r="H114" s="30">
        <v>3200.0</v>
      </c>
      <c r="I114" s="30">
        <v>0.0</v>
      </c>
      <c r="J114" s="28" t="s">
        <v>31</v>
      </c>
      <c r="K114" s="28">
        <v>16.0</v>
      </c>
      <c r="L114" s="26" t="str">
        <f t="shared" si="1"/>
        <v>Médio</v>
      </c>
      <c r="M114" s="31" t="str">
        <f t="shared" si="2"/>
        <v>Aceito</v>
      </c>
      <c r="N114" s="31" t="str">
        <f t="shared" si="3"/>
        <v>Positiva</v>
      </c>
      <c r="O114" s="32">
        <v>61500.0</v>
      </c>
      <c r="P114" s="32">
        <f t="shared" si="4"/>
        <v>66420</v>
      </c>
      <c r="Q114" s="26">
        <f t="shared" si="5"/>
        <v>1</v>
      </c>
    </row>
    <row r="115">
      <c r="A115" s="33" t="s">
        <v>340</v>
      </c>
      <c r="B115" s="33" t="s">
        <v>530</v>
      </c>
      <c r="C115" s="34" t="s">
        <v>531</v>
      </c>
      <c r="D115" s="35">
        <v>65.0</v>
      </c>
      <c r="E115" s="36">
        <v>22623.0</v>
      </c>
      <c r="F115" s="33" t="s">
        <v>234</v>
      </c>
      <c r="G115" s="33" t="s">
        <v>205</v>
      </c>
      <c r="H115" s="37">
        <v>29000.0</v>
      </c>
      <c r="I115" s="37">
        <v>28500.0</v>
      </c>
      <c r="J115" s="35" t="s">
        <v>31</v>
      </c>
      <c r="K115" s="35">
        <v>28.0</v>
      </c>
      <c r="L115" s="33" t="str">
        <f t="shared" si="1"/>
        <v>Alto</v>
      </c>
      <c r="M115" s="38" t="str">
        <f t="shared" si="2"/>
        <v>Aceito</v>
      </c>
      <c r="N115" s="38" t="str">
        <f t="shared" si="3"/>
        <v>Positiva</v>
      </c>
      <c r="O115" s="39">
        <v>57500.0</v>
      </c>
      <c r="P115" s="35">
        <f t="shared" si="4"/>
        <v>0</v>
      </c>
      <c r="Q115" s="33">
        <f t="shared" si="5"/>
        <v>1</v>
      </c>
    </row>
    <row r="116">
      <c r="A116" s="26" t="s">
        <v>71</v>
      </c>
      <c r="B116" s="26" t="s">
        <v>533</v>
      </c>
      <c r="C116" s="27" t="s">
        <v>534</v>
      </c>
      <c r="D116" s="28">
        <v>27.0</v>
      </c>
      <c r="E116" s="29">
        <v>36475.0</v>
      </c>
      <c r="F116" s="26" t="s">
        <v>756</v>
      </c>
      <c r="G116" s="26" t="s">
        <v>117</v>
      </c>
      <c r="H116" s="30">
        <v>13900.0</v>
      </c>
      <c r="I116" s="30">
        <v>53500.0</v>
      </c>
      <c r="J116" s="28" t="s">
        <v>31</v>
      </c>
      <c r="K116" s="28">
        <v>12.0</v>
      </c>
      <c r="L116" s="26" t="str">
        <f t="shared" si="1"/>
        <v>Médio</v>
      </c>
      <c r="M116" s="31" t="str">
        <f t="shared" si="2"/>
        <v>Aceito</v>
      </c>
      <c r="N116" s="31" t="str">
        <f t="shared" si="3"/>
        <v>Positiva</v>
      </c>
      <c r="O116" s="32">
        <v>85000.0</v>
      </c>
      <c r="P116" s="32">
        <f t="shared" si="4"/>
        <v>91800</v>
      </c>
      <c r="Q116" s="26">
        <f t="shared" si="5"/>
        <v>1</v>
      </c>
    </row>
    <row r="117">
      <c r="A117" s="33" t="s">
        <v>76</v>
      </c>
      <c r="B117" s="33" t="s">
        <v>762</v>
      </c>
      <c r="C117" s="34" t="s">
        <v>538</v>
      </c>
      <c r="D117" s="35">
        <v>64.0</v>
      </c>
      <c r="E117" s="36">
        <v>22994.0</v>
      </c>
      <c r="F117" s="33" t="s">
        <v>100</v>
      </c>
      <c r="G117" s="33" t="s">
        <v>88</v>
      </c>
      <c r="H117" s="37">
        <v>20000.0</v>
      </c>
      <c r="I117" s="37">
        <v>29500.0</v>
      </c>
      <c r="J117" s="35" t="s">
        <v>31</v>
      </c>
      <c r="K117" s="35">
        <v>42.0</v>
      </c>
      <c r="L117" s="33" t="str">
        <f t="shared" si="1"/>
        <v>Alto</v>
      </c>
      <c r="M117" s="38" t="str">
        <f t="shared" si="2"/>
        <v>Aceito</v>
      </c>
      <c r="N117" s="38" t="str">
        <f t="shared" si="3"/>
        <v>Positiva</v>
      </c>
      <c r="O117" s="39">
        <v>5000.0</v>
      </c>
      <c r="P117" s="35">
        <f t="shared" si="4"/>
        <v>0</v>
      </c>
      <c r="Q117" s="33">
        <f t="shared" si="5"/>
        <v>1</v>
      </c>
    </row>
    <row r="118">
      <c r="A118" s="26" t="s">
        <v>71</v>
      </c>
      <c r="B118" s="26" t="s">
        <v>540</v>
      </c>
      <c r="C118" s="27">
        <v>27900.0</v>
      </c>
      <c r="D118" s="28">
        <v>71.0</v>
      </c>
      <c r="E118" s="29">
        <v>20210.0</v>
      </c>
      <c r="F118" s="26" t="s">
        <v>306</v>
      </c>
      <c r="G118" s="26" t="s">
        <v>222</v>
      </c>
      <c r="H118" s="30">
        <v>24100.0</v>
      </c>
      <c r="I118" s="30">
        <v>0.0</v>
      </c>
      <c r="J118" s="28" t="s">
        <v>31</v>
      </c>
      <c r="K118" s="28">
        <v>10.0</v>
      </c>
      <c r="L118" s="26" t="str">
        <f t="shared" si="1"/>
        <v>Baixo</v>
      </c>
      <c r="M118" s="31" t="str">
        <f t="shared" si="2"/>
        <v>Aceito</v>
      </c>
      <c r="N118" s="31" t="str">
        <f t="shared" si="3"/>
        <v>Positiva</v>
      </c>
      <c r="O118" s="32">
        <v>87000.0</v>
      </c>
      <c r="P118" s="32">
        <f t="shared" si="4"/>
        <v>93960</v>
      </c>
      <c r="Q118" s="26">
        <f t="shared" si="5"/>
        <v>1</v>
      </c>
    </row>
    <row r="119">
      <c r="A119" s="33" t="s">
        <v>71</v>
      </c>
      <c r="B119" s="33" t="s">
        <v>541</v>
      </c>
      <c r="C119" s="34"/>
      <c r="D119" s="35">
        <v>73.0</v>
      </c>
      <c r="E119" s="36">
        <v>19538.0</v>
      </c>
      <c r="F119" s="33" t="s">
        <v>82</v>
      </c>
      <c r="G119" s="33" t="s">
        <v>83</v>
      </c>
      <c r="H119" s="37">
        <v>12700.0</v>
      </c>
      <c r="I119" s="37">
        <v>79500.0</v>
      </c>
      <c r="J119" s="35" t="s">
        <v>31</v>
      </c>
      <c r="K119" s="35">
        <v>35.0</v>
      </c>
      <c r="L119" s="33" t="str">
        <f t="shared" si="1"/>
        <v>Alto</v>
      </c>
      <c r="M119" s="38" t="str">
        <f t="shared" si="2"/>
        <v>Aceito</v>
      </c>
      <c r="N119" s="38" t="str">
        <f t="shared" si="3"/>
        <v>Positiva</v>
      </c>
      <c r="O119" s="39">
        <v>39000.0</v>
      </c>
      <c r="P119" s="39">
        <f t="shared" si="4"/>
        <v>42120</v>
      </c>
      <c r="Q119" s="33">
        <f t="shared" si="5"/>
        <v>1</v>
      </c>
    </row>
    <row r="120">
      <c r="A120" s="26" t="s">
        <v>71</v>
      </c>
      <c r="B120" s="26" t="s">
        <v>543</v>
      </c>
      <c r="C120" s="27">
        <v>26400.0</v>
      </c>
      <c r="D120" s="28">
        <v>57.0</v>
      </c>
      <c r="E120" s="29">
        <v>25238.0</v>
      </c>
      <c r="F120" s="26" t="s">
        <v>756</v>
      </c>
      <c r="G120" s="26" t="s">
        <v>195</v>
      </c>
      <c r="H120" s="30">
        <v>3200.0</v>
      </c>
      <c r="I120" s="30" t="s">
        <v>84</v>
      </c>
      <c r="J120" s="28" t="s">
        <v>31</v>
      </c>
      <c r="K120" s="28">
        <v>18.0</v>
      </c>
      <c r="L120" s="26" t="str">
        <f t="shared" si="1"/>
        <v>Médio</v>
      </c>
      <c r="M120" s="31" t="str">
        <f t="shared" si="2"/>
        <v>Aceito</v>
      </c>
      <c r="N120" s="31" t="str">
        <f t="shared" si="3"/>
        <v>Positiva</v>
      </c>
      <c r="O120" s="32">
        <v>64000.0</v>
      </c>
      <c r="P120" s="32">
        <f t="shared" si="4"/>
        <v>69120</v>
      </c>
      <c r="Q120" s="26">
        <f t="shared" si="5"/>
        <v>1</v>
      </c>
    </row>
    <row r="121">
      <c r="A121" s="33" t="s">
        <v>71</v>
      </c>
      <c r="B121" s="33" t="s">
        <v>544</v>
      </c>
      <c r="C121" s="34">
        <v>9900.0</v>
      </c>
      <c r="D121" s="35">
        <v>64.0</v>
      </c>
      <c r="E121" s="36">
        <v>22653.0</v>
      </c>
      <c r="F121" s="33" t="s">
        <v>253</v>
      </c>
      <c r="G121" s="33" t="s">
        <v>195</v>
      </c>
      <c r="H121" s="37">
        <v>2900.0</v>
      </c>
      <c r="I121" s="37">
        <v>76000.0</v>
      </c>
      <c r="J121" s="35" t="s">
        <v>31</v>
      </c>
      <c r="K121" s="35">
        <v>32.0</v>
      </c>
      <c r="L121" s="33" t="str">
        <f t="shared" si="1"/>
        <v>Alto</v>
      </c>
      <c r="M121" s="38" t="str">
        <f t="shared" si="2"/>
        <v>Aceito</v>
      </c>
      <c r="N121" s="38" t="str">
        <f t="shared" si="3"/>
        <v>Positiva</v>
      </c>
      <c r="O121" s="39">
        <v>72500.0</v>
      </c>
      <c r="P121" s="39">
        <f t="shared" si="4"/>
        <v>78300</v>
      </c>
      <c r="Q121" s="33">
        <f t="shared" si="5"/>
        <v>1</v>
      </c>
    </row>
    <row r="122">
      <c r="A122" s="26" t="s">
        <v>71</v>
      </c>
      <c r="B122" s="26" t="s">
        <v>548</v>
      </c>
      <c r="C122" s="27">
        <v>16000.0</v>
      </c>
      <c r="D122" s="28">
        <v>74.0</v>
      </c>
      <c r="E122" s="29">
        <v>19004.0</v>
      </c>
      <c r="F122" s="26" t="s">
        <v>78</v>
      </c>
      <c r="G122" s="26" t="s">
        <v>79</v>
      </c>
      <c r="H122" s="30">
        <v>7100.0</v>
      </c>
      <c r="I122" s="30">
        <v>58000.0</v>
      </c>
      <c r="J122" s="28" t="s">
        <v>32</v>
      </c>
      <c r="K122" s="28">
        <v>22.0</v>
      </c>
      <c r="L122" s="26" t="str">
        <f t="shared" si="1"/>
        <v>Médio</v>
      </c>
      <c r="M122" s="31" t="str">
        <f t="shared" si="2"/>
        <v>Aceito</v>
      </c>
      <c r="N122" s="31" t="str">
        <f t="shared" si="3"/>
        <v>Negativa</v>
      </c>
      <c r="O122" s="32">
        <v>46500.0</v>
      </c>
      <c r="P122" s="32">
        <f t="shared" si="4"/>
        <v>50220</v>
      </c>
      <c r="Q122" s="26">
        <f t="shared" si="5"/>
        <v>1</v>
      </c>
    </row>
    <row r="123">
      <c r="A123" s="33" t="s">
        <v>76</v>
      </c>
      <c r="B123" s="33" t="s">
        <v>550</v>
      </c>
      <c r="C123" s="34" t="s">
        <v>551</v>
      </c>
      <c r="D123" s="35">
        <v>28.0</v>
      </c>
      <c r="E123" s="36">
        <v>35993.0</v>
      </c>
      <c r="F123" s="33" t="s">
        <v>93</v>
      </c>
      <c r="G123" s="33" t="s">
        <v>94</v>
      </c>
      <c r="H123" s="37">
        <v>13400.0</v>
      </c>
      <c r="I123" s="37">
        <v>54000.0</v>
      </c>
      <c r="J123" s="35" t="s">
        <v>31</v>
      </c>
      <c r="K123" s="35">
        <v>15.0</v>
      </c>
      <c r="L123" s="33" t="str">
        <f t="shared" si="1"/>
        <v>Médio</v>
      </c>
      <c r="M123" s="38" t="str">
        <f t="shared" si="2"/>
        <v>Aceito</v>
      </c>
      <c r="N123" s="38" t="str">
        <f t="shared" si="3"/>
        <v>Positiva</v>
      </c>
      <c r="O123" s="39">
        <v>99000.0</v>
      </c>
      <c r="P123" s="35">
        <f t="shared" si="4"/>
        <v>0</v>
      </c>
      <c r="Q123" s="33">
        <f t="shared" si="5"/>
        <v>1</v>
      </c>
    </row>
    <row r="124">
      <c r="A124" s="26" t="s">
        <v>71</v>
      </c>
      <c r="B124" s="26" t="s">
        <v>784</v>
      </c>
      <c r="C124" s="27" t="s">
        <v>556</v>
      </c>
      <c r="D124" s="28">
        <v>26.0</v>
      </c>
      <c r="E124" s="29">
        <v>36622.0</v>
      </c>
      <c r="F124" s="26" t="s">
        <v>270</v>
      </c>
      <c r="G124" s="26" t="s">
        <v>270</v>
      </c>
      <c r="H124" s="30">
        <v>22900.0</v>
      </c>
      <c r="I124" s="30">
        <v>65500.0</v>
      </c>
      <c r="J124" s="28" t="s">
        <v>32</v>
      </c>
      <c r="K124" s="28">
        <v>40.0</v>
      </c>
      <c r="L124" s="26" t="str">
        <f t="shared" si="1"/>
        <v>Alto</v>
      </c>
      <c r="M124" s="31" t="str">
        <f t="shared" si="2"/>
        <v>Negado</v>
      </c>
      <c r="N124" s="31" t="str">
        <f t="shared" si="3"/>
        <v>Negativa</v>
      </c>
      <c r="O124" s="32">
        <v>95500.0</v>
      </c>
      <c r="P124" s="28">
        <f t="shared" si="4"/>
        <v>0</v>
      </c>
      <c r="Q124" s="26">
        <f t="shared" si="5"/>
        <v>0</v>
      </c>
    </row>
    <row r="125">
      <c r="A125" s="33" t="s">
        <v>76</v>
      </c>
      <c r="B125" s="33" t="s">
        <v>560</v>
      </c>
      <c r="C125" s="34" t="s">
        <v>561</v>
      </c>
      <c r="D125" s="35">
        <v>69.0</v>
      </c>
      <c r="E125" s="36">
        <v>21051.0</v>
      </c>
      <c r="F125" s="33" t="s">
        <v>78</v>
      </c>
      <c r="G125" s="33" t="s">
        <v>79</v>
      </c>
      <c r="H125" s="37">
        <v>25100.0</v>
      </c>
      <c r="I125" s="37">
        <v>40500.0</v>
      </c>
      <c r="J125" s="35" t="s">
        <v>31</v>
      </c>
      <c r="K125" s="35">
        <v>43.0</v>
      </c>
      <c r="L125" s="33" t="str">
        <f t="shared" si="1"/>
        <v>Alto</v>
      </c>
      <c r="M125" s="38" t="str">
        <f t="shared" si="2"/>
        <v>Aceito</v>
      </c>
      <c r="N125" s="38" t="str">
        <f t="shared" si="3"/>
        <v>Positiva</v>
      </c>
      <c r="O125" s="39">
        <v>24500.0</v>
      </c>
      <c r="P125" s="35">
        <f t="shared" si="4"/>
        <v>0</v>
      </c>
      <c r="Q125" s="33">
        <f t="shared" si="5"/>
        <v>1</v>
      </c>
    </row>
    <row r="126">
      <c r="A126" s="26" t="s">
        <v>71</v>
      </c>
      <c r="B126" s="26" t="s">
        <v>564</v>
      </c>
      <c r="C126" s="27" t="s">
        <v>565</v>
      </c>
      <c r="D126" s="28">
        <v>67.0</v>
      </c>
      <c r="E126" s="29">
        <v>21624.0</v>
      </c>
      <c r="F126" s="26" t="s">
        <v>255</v>
      </c>
      <c r="G126" s="26" t="s">
        <v>205</v>
      </c>
      <c r="H126" s="30">
        <v>8500.0</v>
      </c>
      <c r="I126" s="30">
        <v>39500.0</v>
      </c>
      <c r="J126" s="28" t="s">
        <v>32</v>
      </c>
      <c r="K126" s="28"/>
      <c r="L126" s="26" t="str">
        <f t="shared" si="1"/>
        <v>Baixo</v>
      </c>
      <c r="M126" s="31" t="str">
        <f t="shared" si="2"/>
        <v>Aceito</v>
      </c>
      <c r="N126" s="31" t="str">
        <f t="shared" si="3"/>
        <v>Positiva</v>
      </c>
      <c r="O126" s="32">
        <v>42000.0</v>
      </c>
      <c r="P126" s="32">
        <f t="shared" si="4"/>
        <v>45360</v>
      </c>
      <c r="Q126" s="26">
        <f t="shared" si="5"/>
        <v>1</v>
      </c>
    </row>
    <row r="127">
      <c r="A127" s="33" t="s">
        <v>71</v>
      </c>
      <c r="B127" s="33" t="s">
        <v>568</v>
      </c>
      <c r="C127" s="34" t="s">
        <v>569</v>
      </c>
      <c r="D127" s="35">
        <v>54.0</v>
      </c>
      <c r="E127" s="36">
        <v>26643.0</v>
      </c>
      <c r="F127" s="33" t="s">
        <v>246</v>
      </c>
      <c r="G127" s="33" t="s">
        <v>205</v>
      </c>
      <c r="H127" s="37">
        <v>12200.0</v>
      </c>
      <c r="I127" s="37">
        <v>79500.0</v>
      </c>
      <c r="J127" s="35" t="s">
        <v>31</v>
      </c>
      <c r="K127" s="35">
        <v>45.0</v>
      </c>
      <c r="L127" s="33" t="str">
        <f t="shared" si="1"/>
        <v>Alto</v>
      </c>
      <c r="M127" s="38" t="str">
        <f t="shared" si="2"/>
        <v>Aceito</v>
      </c>
      <c r="N127" s="38" t="str">
        <f t="shared" si="3"/>
        <v>Positiva</v>
      </c>
      <c r="O127" s="39">
        <v>57000.0</v>
      </c>
      <c r="P127" s="39">
        <f t="shared" si="4"/>
        <v>61560</v>
      </c>
      <c r="Q127" s="33">
        <f t="shared" si="5"/>
        <v>1</v>
      </c>
    </row>
    <row r="128">
      <c r="A128" s="26" t="s">
        <v>71</v>
      </c>
      <c r="B128" s="26" t="s">
        <v>802</v>
      </c>
      <c r="C128" s="27" t="s">
        <v>571</v>
      </c>
      <c r="D128" s="28">
        <v>56.0</v>
      </c>
      <c r="E128" s="29">
        <v>25880.0</v>
      </c>
      <c r="F128" s="26" t="s">
        <v>78</v>
      </c>
      <c r="G128" s="26" t="s">
        <v>79</v>
      </c>
      <c r="H128" s="30">
        <v>27500.0</v>
      </c>
      <c r="I128" s="30">
        <v>14000.0</v>
      </c>
      <c r="J128" s="28" t="s">
        <v>31</v>
      </c>
      <c r="K128" s="28">
        <v>3.0</v>
      </c>
      <c r="L128" s="26" t="str">
        <f t="shared" si="1"/>
        <v>Baixo</v>
      </c>
      <c r="M128" s="31" t="str">
        <f t="shared" si="2"/>
        <v>Aceito</v>
      </c>
      <c r="N128" s="31" t="str">
        <f t="shared" si="3"/>
        <v>Positiva</v>
      </c>
      <c r="O128" s="32">
        <v>11500.0</v>
      </c>
      <c r="P128" s="32">
        <f t="shared" si="4"/>
        <v>12420</v>
      </c>
      <c r="Q128" s="26">
        <f t="shared" si="5"/>
        <v>1</v>
      </c>
    </row>
    <row r="129">
      <c r="A129" s="33" t="s">
        <v>71</v>
      </c>
      <c r="B129" s="33" t="s">
        <v>471</v>
      </c>
      <c r="C129" s="34">
        <v>8900.0</v>
      </c>
      <c r="D129" s="35">
        <v>35.0</v>
      </c>
      <c r="E129" s="36">
        <v>33473.0</v>
      </c>
      <c r="F129" s="33" t="s">
        <v>342</v>
      </c>
      <c r="G129" s="33" t="s">
        <v>437</v>
      </c>
      <c r="H129" s="37">
        <v>24000.0</v>
      </c>
      <c r="I129" s="37">
        <v>0.0</v>
      </c>
      <c r="J129" s="35" t="s">
        <v>32</v>
      </c>
      <c r="K129" s="35">
        <v>3.0</v>
      </c>
      <c r="L129" s="33" t="str">
        <f t="shared" si="1"/>
        <v>Baixo</v>
      </c>
      <c r="M129" s="38" t="str">
        <f t="shared" si="2"/>
        <v>Aceito</v>
      </c>
      <c r="N129" s="38" t="str">
        <f t="shared" si="3"/>
        <v>Positiva</v>
      </c>
      <c r="O129" s="39">
        <v>60000.0</v>
      </c>
      <c r="P129" s="39">
        <f t="shared" si="4"/>
        <v>64800</v>
      </c>
      <c r="Q129" s="33">
        <f t="shared" si="5"/>
        <v>1</v>
      </c>
    </row>
    <row r="130">
      <c r="A130" s="26" t="s">
        <v>76</v>
      </c>
      <c r="B130" s="26" t="s">
        <v>391</v>
      </c>
      <c r="C130" s="27">
        <v>8300.0</v>
      </c>
      <c r="D130" s="28">
        <v>31.0</v>
      </c>
      <c r="E130" s="29">
        <v>34828.0</v>
      </c>
      <c r="F130" s="26" t="s">
        <v>316</v>
      </c>
      <c r="G130" s="26" t="s">
        <v>83</v>
      </c>
      <c r="H130" s="30">
        <v>24900.0</v>
      </c>
      <c r="I130" s="30">
        <v>72000.0</v>
      </c>
      <c r="J130" s="28" t="s">
        <v>31</v>
      </c>
      <c r="K130" s="28">
        <v>35.0</v>
      </c>
      <c r="L130" s="26" t="str">
        <f t="shared" si="1"/>
        <v>Alto</v>
      </c>
      <c r="M130" s="31" t="str">
        <f t="shared" si="2"/>
        <v>Aceito</v>
      </c>
      <c r="N130" s="31" t="str">
        <f t="shared" si="3"/>
        <v>Positiva</v>
      </c>
      <c r="O130" s="32">
        <v>79000.0</v>
      </c>
      <c r="P130" s="28">
        <f t="shared" si="4"/>
        <v>0</v>
      </c>
      <c r="Q130" s="26">
        <f t="shared" si="5"/>
        <v>1</v>
      </c>
    </row>
    <row r="131">
      <c r="A131" s="33" t="s">
        <v>76</v>
      </c>
      <c r="B131" s="33" t="s">
        <v>573</v>
      </c>
      <c r="C131" s="34">
        <v>3800.0</v>
      </c>
      <c r="D131" s="35">
        <v>42.0</v>
      </c>
      <c r="E131" s="36">
        <v>30844.0</v>
      </c>
      <c r="F131" s="33" t="s">
        <v>93</v>
      </c>
      <c r="G131" s="33" t="s">
        <v>94</v>
      </c>
      <c r="H131" s="37">
        <v>28600.0</v>
      </c>
      <c r="I131" s="37">
        <v>67500.0</v>
      </c>
      <c r="J131" s="35" t="s">
        <v>31</v>
      </c>
      <c r="K131" s="35">
        <v>39.0</v>
      </c>
      <c r="L131" s="33" t="str">
        <f t="shared" si="1"/>
        <v>Alto</v>
      </c>
      <c r="M131" s="38" t="str">
        <f t="shared" si="2"/>
        <v>Aceito</v>
      </c>
      <c r="N131" s="38" t="str">
        <f t="shared" si="3"/>
        <v>Positiva</v>
      </c>
      <c r="O131" s="39">
        <v>22000.0</v>
      </c>
      <c r="P131" s="35">
        <f t="shared" si="4"/>
        <v>0</v>
      </c>
      <c r="Q131" s="33">
        <f t="shared" si="5"/>
        <v>1</v>
      </c>
    </row>
    <row r="132">
      <c r="A132" s="26" t="s">
        <v>76</v>
      </c>
      <c r="B132" s="26" t="s">
        <v>576</v>
      </c>
      <c r="C132" s="27" t="s">
        <v>577</v>
      </c>
      <c r="D132" s="28">
        <v>56.0</v>
      </c>
      <c r="E132" s="29">
        <v>25671.0</v>
      </c>
      <c r="F132" s="26" t="s">
        <v>253</v>
      </c>
      <c r="G132" s="26" t="s">
        <v>195</v>
      </c>
      <c r="H132" s="30">
        <v>28300.0</v>
      </c>
      <c r="I132" s="30">
        <v>56000.0</v>
      </c>
      <c r="J132" s="28" t="s">
        <v>31</v>
      </c>
      <c r="K132" s="28">
        <v>6.0</v>
      </c>
      <c r="L132" s="26" t="str">
        <f t="shared" si="1"/>
        <v>Baixo</v>
      </c>
      <c r="M132" s="31" t="str">
        <f t="shared" si="2"/>
        <v>Aceito</v>
      </c>
      <c r="N132" s="31" t="str">
        <f t="shared" si="3"/>
        <v>Positiva</v>
      </c>
      <c r="O132" s="32">
        <v>77000.0</v>
      </c>
      <c r="P132" s="28">
        <f t="shared" si="4"/>
        <v>0</v>
      </c>
      <c r="Q132" s="26">
        <f t="shared" si="5"/>
        <v>1</v>
      </c>
    </row>
    <row r="133">
      <c r="A133" s="33" t="s">
        <v>71</v>
      </c>
      <c r="B133" s="33" t="s">
        <v>578</v>
      </c>
      <c r="C133" s="34">
        <v>37700.0</v>
      </c>
      <c r="D133" s="35">
        <v>24.0</v>
      </c>
      <c r="E133" s="36">
        <v>37418.0</v>
      </c>
      <c r="F133" s="33" t="s">
        <v>136</v>
      </c>
      <c r="G133" s="33" t="s">
        <v>117</v>
      </c>
      <c r="H133" s="37">
        <v>2600.0</v>
      </c>
      <c r="I133" s="37">
        <v>0.0</v>
      </c>
      <c r="J133" s="35" t="s">
        <v>32</v>
      </c>
      <c r="K133" s="35">
        <v>30.0</v>
      </c>
      <c r="L133" s="33" t="str">
        <f t="shared" si="1"/>
        <v>Alto</v>
      </c>
      <c r="M133" s="38" t="str">
        <f t="shared" si="2"/>
        <v>Negado</v>
      </c>
      <c r="N133" s="38" t="str">
        <f t="shared" si="3"/>
        <v>Positiva</v>
      </c>
      <c r="O133" s="39">
        <v>11000.0</v>
      </c>
      <c r="P133" s="39">
        <f t="shared" si="4"/>
        <v>11880</v>
      </c>
      <c r="Q133" s="33">
        <f t="shared" si="5"/>
        <v>1</v>
      </c>
    </row>
    <row r="134">
      <c r="A134" s="26" t="s">
        <v>71</v>
      </c>
      <c r="B134" s="26" t="s">
        <v>579</v>
      </c>
      <c r="C134" s="27" t="s">
        <v>580</v>
      </c>
      <c r="D134" s="28">
        <v>25.0</v>
      </c>
      <c r="E134" s="29">
        <v>37137.0</v>
      </c>
      <c r="F134" s="26" t="s">
        <v>74</v>
      </c>
      <c r="G134" s="26" t="s">
        <v>75</v>
      </c>
      <c r="H134" s="30">
        <v>0.0</v>
      </c>
      <c r="I134" s="30">
        <v>21.0</v>
      </c>
      <c r="J134" s="28" t="s">
        <v>31</v>
      </c>
      <c r="K134" s="28">
        <v>34.0</v>
      </c>
      <c r="L134" s="26" t="str">
        <f t="shared" si="1"/>
        <v>Alto</v>
      </c>
      <c r="M134" s="31" t="str">
        <f t="shared" si="2"/>
        <v>Aceito</v>
      </c>
      <c r="N134" s="31" t="str">
        <f t="shared" si="3"/>
        <v>Positiva</v>
      </c>
      <c r="O134" s="32">
        <v>7500.0</v>
      </c>
      <c r="P134" s="32">
        <f t="shared" si="4"/>
        <v>8100</v>
      </c>
      <c r="Q134" s="26">
        <f t="shared" si="5"/>
        <v>1</v>
      </c>
    </row>
    <row r="135">
      <c r="A135" s="33" t="s">
        <v>71</v>
      </c>
      <c r="B135" s="33" t="s">
        <v>834</v>
      </c>
      <c r="C135" s="34" t="s">
        <v>582</v>
      </c>
      <c r="D135" s="35">
        <v>58.0</v>
      </c>
      <c r="E135" s="36">
        <v>25199.0</v>
      </c>
      <c r="F135" s="33" t="s">
        <v>221</v>
      </c>
      <c r="G135" s="33" t="s">
        <v>222</v>
      </c>
      <c r="H135" s="37">
        <v>20700.0</v>
      </c>
      <c r="I135" s="37">
        <v>64500.0</v>
      </c>
      <c r="J135" s="35" t="s">
        <v>31</v>
      </c>
      <c r="K135" s="35">
        <v>19.0</v>
      </c>
      <c r="L135" s="33" t="str">
        <f t="shared" si="1"/>
        <v>Médio</v>
      </c>
      <c r="M135" s="38" t="str">
        <f t="shared" si="2"/>
        <v>Aceito</v>
      </c>
      <c r="N135" s="38" t="str">
        <f t="shared" si="3"/>
        <v>Positiva</v>
      </c>
      <c r="O135" s="39">
        <v>54500.0</v>
      </c>
      <c r="P135" s="39">
        <f t="shared" si="4"/>
        <v>58860</v>
      </c>
      <c r="Q135" s="33">
        <f t="shared" si="5"/>
        <v>1</v>
      </c>
    </row>
    <row r="136">
      <c r="A136" s="26" t="s">
        <v>76</v>
      </c>
      <c r="B136" s="26" t="s">
        <v>585</v>
      </c>
      <c r="C136" s="27" t="s">
        <v>586</v>
      </c>
      <c r="D136" s="28">
        <v>74.0</v>
      </c>
      <c r="E136" s="29">
        <v>19314.0</v>
      </c>
      <c r="F136" s="26" t="s">
        <v>82</v>
      </c>
      <c r="G136" s="26" t="s">
        <v>83</v>
      </c>
      <c r="H136" s="30">
        <v>6100.0</v>
      </c>
      <c r="I136" s="30">
        <v>16000.0</v>
      </c>
      <c r="J136" s="28" t="s">
        <v>31</v>
      </c>
      <c r="K136" s="28">
        <v>9.0</v>
      </c>
      <c r="L136" s="26" t="str">
        <f t="shared" si="1"/>
        <v>Baixo</v>
      </c>
      <c r="M136" s="31" t="str">
        <f t="shared" si="2"/>
        <v>Aceito</v>
      </c>
      <c r="N136" s="31" t="str">
        <f t="shared" si="3"/>
        <v>Positiva</v>
      </c>
      <c r="O136" s="32">
        <v>24500.0</v>
      </c>
      <c r="P136" s="28">
        <f t="shared" si="4"/>
        <v>0</v>
      </c>
      <c r="Q136" s="26">
        <f t="shared" si="5"/>
        <v>1</v>
      </c>
    </row>
    <row r="137">
      <c r="A137" s="33" t="s">
        <v>71</v>
      </c>
      <c r="B137" s="33" t="s">
        <v>589</v>
      </c>
      <c r="C137" s="34">
        <v>37000.0</v>
      </c>
      <c r="D137" s="35">
        <v>24.0</v>
      </c>
      <c r="E137" s="36">
        <v>37317.0</v>
      </c>
      <c r="F137" s="33" t="s">
        <v>258</v>
      </c>
      <c r="G137" s="33" t="s">
        <v>222</v>
      </c>
      <c r="H137" s="37">
        <v>6400.0</v>
      </c>
      <c r="I137" s="37">
        <v>41.0</v>
      </c>
      <c r="J137" s="35" t="s">
        <v>31</v>
      </c>
      <c r="K137" s="35">
        <v>22.0</v>
      </c>
      <c r="L137" s="33" t="str">
        <f t="shared" si="1"/>
        <v>Médio</v>
      </c>
      <c r="M137" s="38" t="str">
        <f t="shared" si="2"/>
        <v>Aceito</v>
      </c>
      <c r="N137" s="38" t="str">
        <f t="shared" si="3"/>
        <v>Positiva</v>
      </c>
      <c r="O137" s="39">
        <v>74500.0</v>
      </c>
      <c r="P137" s="39">
        <f t="shared" si="4"/>
        <v>80460</v>
      </c>
      <c r="Q137" s="33">
        <f t="shared" si="5"/>
        <v>1</v>
      </c>
    </row>
    <row r="138">
      <c r="A138" s="26" t="s">
        <v>76</v>
      </c>
      <c r="B138" s="26" t="s">
        <v>591</v>
      </c>
      <c r="C138" s="27" t="s">
        <v>592</v>
      </c>
      <c r="D138" s="28">
        <v>127.0</v>
      </c>
      <c r="E138" s="29">
        <v>0.0</v>
      </c>
      <c r="F138" s="26" t="s">
        <v>136</v>
      </c>
      <c r="G138" s="26" t="s">
        <v>117</v>
      </c>
      <c r="H138" s="30">
        <v>11600.0</v>
      </c>
      <c r="I138" s="30">
        <v>63.5</v>
      </c>
      <c r="J138" s="28" t="s">
        <v>109</v>
      </c>
      <c r="K138" s="28">
        <v>18.0</v>
      </c>
      <c r="L138" s="26" t="str">
        <f t="shared" si="1"/>
        <v>Médio</v>
      </c>
      <c r="M138" s="31" t="str">
        <f t="shared" si="2"/>
        <v>Aceito</v>
      </c>
      <c r="N138" s="31" t="str">
        <f t="shared" si="3"/>
        <v>Positiva</v>
      </c>
      <c r="O138" s="32">
        <v>3000.0</v>
      </c>
      <c r="P138" s="28">
        <f t="shared" si="4"/>
        <v>0</v>
      </c>
      <c r="Q138" s="26">
        <f t="shared" si="5"/>
        <v>1</v>
      </c>
    </row>
    <row r="139">
      <c r="A139" s="33" t="s">
        <v>71</v>
      </c>
      <c r="B139" s="33" t="s">
        <v>852</v>
      </c>
      <c r="C139" s="34" t="s">
        <v>594</v>
      </c>
      <c r="D139" s="35">
        <v>52.0</v>
      </c>
      <c r="E139" s="36">
        <v>27186.0</v>
      </c>
      <c r="F139" s="33" t="s">
        <v>78</v>
      </c>
      <c r="G139" s="33" t="s">
        <v>79</v>
      </c>
      <c r="H139" s="37">
        <v>6400.0</v>
      </c>
      <c r="I139" s="37">
        <v>37000.0</v>
      </c>
      <c r="J139" s="35" t="s">
        <v>31</v>
      </c>
      <c r="K139" s="35">
        <v>1.0</v>
      </c>
      <c r="L139" s="33" t="str">
        <f t="shared" si="1"/>
        <v>Baixo</v>
      </c>
      <c r="M139" s="38" t="str">
        <f t="shared" si="2"/>
        <v>Aceito</v>
      </c>
      <c r="N139" s="38" t="str">
        <f t="shared" si="3"/>
        <v>Positiva</v>
      </c>
      <c r="O139" s="39">
        <v>87000.0</v>
      </c>
      <c r="P139" s="39">
        <f t="shared" si="4"/>
        <v>93960</v>
      </c>
      <c r="Q139" s="33">
        <f t="shared" si="5"/>
        <v>1</v>
      </c>
    </row>
    <row r="140">
      <c r="A140" s="26" t="s">
        <v>76</v>
      </c>
      <c r="B140" s="26" t="s">
        <v>595</v>
      </c>
      <c r="C140" s="27">
        <v>26700.0</v>
      </c>
      <c r="D140" s="28">
        <v>54.0</v>
      </c>
      <c r="E140" s="29">
        <v>26453.0</v>
      </c>
      <c r="F140" s="26" t="s">
        <v>342</v>
      </c>
      <c r="G140" s="26" t="s">
        <v>437</v>
      </c>
      <c r="H140" s="30">
        <v>3900.0</v>
      </c>
      <c r="I140" s="30">
        <v>80000.0</v>
      </c>
      <c r="J140" s="28" t="s">
        <v>31</v>
      </c>
      <c r="K140" s="28">
        <v>41.0</v>
      </c>
      <c r="L140" s="26" t="str">
        <f t="shared" si="1"/>
        <v>Alto</v>
      </c>
      <c r="M140" s="31" t="str">
        <f t="shared" si="2"/>
        <v>Aceito</v>
      </c>
      <c r="N140" s="31" t="str">
        <f t="shared" si="3"/>
        <v>Positiva</v>
      </c>
      <c r="O140" s="32">
        <v>30000.0</v>
      </c>
      <c r="P140" s="28">
        <f t="shared" si="4"/>
        <v>0</v>
      </c>
      <c r="Q140" s="26">
        <f t="shared" si="5"/>
        <v>1</v>
      </c>
    </row>
    <row r="141">
      <c r="A141" s="33" t="s">
        <v>71</v>
      </c>
      <c r="B141" s="33" t="s">
        <v>597</v>
      </c>
      <c r="C141" s="34" t="s">
        <v>598</v>
      </c>
      <c r="D141" s="35">
        <v>45.0</v>
      </c>
      <c r="E141" s="36">
        <v>29921.0</v>
      </c>
      <c r="F141" s="33" t="s">
        <v>93</v>
      </c>
      <c r="G141" s="33" t="s">
        <v>94</v>
      </c>
      <c r="H141" s="37">
        <v>22800.0</v>
      </c>
      <c r="I141" s="37" t="s">
        <v>84</v>
      </c>
      <c r="J141" s="35" t="s">
        <v>31</v>
      </c>
      <c r="K141" s="35">
        <v>10.0</v>
      </c>
      <c r="L141" s="33" t="str">
        <f t="shared" si="1"/>
        <v>Baixo</v>
      </c>
      <c r="M141" s="38" t="str">
        <f t="shared" si="2"/>
        <v>Aceito</v>
      </c>
      <c r="N141" s="38" t="str">
        <f t="shared" si="3"/>
        <v>Positiva</v>
      </c>
      <c r="O141" s="39">
        <v>31000.0</v>
      </c>
      <c r="P141" s="39">
        <f t="shared" si="4"/>
        <v>33480</v>
      </c>
      <c r="Q141" s="33">
        <f t="shared" si="5"/>
        <v>1</v>
      </c>
    </row>
    <row r="142">
      <c r="A142" s="26" t="s">
        <v>71</v>
      </c>
      <c r="B142" s="26" t="s">
        <v>599</v>
      </c>
      <c r="C142" s="27">
        <v>35200.0</v>
      </c>
      <c r="D142" s="28">
        <v>65.0</v>
      </c>
      <c r="E142" s="29">
        <v>22337.0</v>
      </c>
      <c r="F142" s="26" t="s">
        <v>203</v>
      </c>
      <c r="G142" s="26" t="s">
        <v>205</v>
      </c>
      <c r="H142" s="30">
        <v>3800.0</v>
      </c>
      <c r="I142" s="30">
        <v>49500.0</v>
      </c>
      <c r="J142" s="28" t="s">
        <v>31</v>
      </c>
      <c r="K142" s="28">
        <v>16.0</v>
      </c>
      <c r="L142" s="26" t="str">
        <f t="shared" si="1"/>
        <v>Médio</v>
      </c>
      <c r="M142" s="31" t="str">
        <f t="shared" si="2"/>
        <v>Aceito</v>
      </c>
      <c r="N142" s="31" t="str">
        <f t="shared" si="3"/>
        <v>Positiva</v>
      </c>
      <c r="O142" s="32">
        <v>15500.0</v>
      </c>
      <c r="P142" s="32">
        <f t="shared" si="4"/>
        <v>16740</v>
      </c>
      <c r="Q142" s="26">
        <f t="shared" si="5"/>
        <v>1</v>
      </c>
    </row>
    <row r="143">
      <c r="A143" s="33" t="s">
        <v>71</v>
      </c>
      <c r="B143" s="33" t="s">
        <v>600</v>
      </c>
      <c r="C143" s="34" t="s">
        <v>601</v>
      </c>
      <c r="D143" s="35">
        <v>66.0</v>
      </c>
      <c r="E143" s="36">
        <v>22151.0</v>
      </c>
      <c r="F143" s="33" t="s">
        <v>221</v>
      </c>
      <c r="G143" s="33" t="s">
        <v>222</v>
      </c>
      <c r="H143" s="37">
        <v>11800.0</v>
      </c>
      <c r="I143" s="37">
        <v>2000.0</v>
      </c>
      <c r="J143" s="35" t="s">
        <v>32</v>
      </c>
      <c r="K143" s="35">
        <v>23.0</v>
      </c>
      <c r="L143" s="33" t="str">
        <f t="shared" si="1"/>
        <v>Médio</v>
      </c>
      <c r="M143" s="38" t="str">
        <f t="shared" si="2"/>
        <v>Aceito</v>
      </c>
      <c r="N143" s="38" t="str">
        <f t="shared" si="3"/>
        <v>Positiva</v>
      </c>
      <c r="O143" s="39">
        <v>72500.0</v>
      </c>
      <c r="P143" s="39">
        <f t="shared" si="4"/>
        <v>78300</v>
      </c>
      <c r="Q143" s="33">
        <f t="shared" si="5"/>
        <v>1</v>
      </c>
    </row>
    <row r="144">
      <c r="A144" s="26" t="s">
        <v>71</v>
      </c>
      <c r="B144" s="26" t="s">
        <v>603</v>
      </c>
      <c r="C144" s="27" t="s">
        <v>604</v>
      </c>
      <c r="D144" s="28">
        <v>29.0</v>
      </c>
      <c r="E144" s="29">
        <v>35607.0</v>
      </c>
      <c r="F144" s="26" t="s">
        <v>234</v>
      </c>
      <c r="G144" s="26" t="s">
        <v>205</v>
      </c>
      <c r="H144" s="30">
        <v>13800.0</v>
      </c>
      <c r="I144" s="30">
        <v>41500.0</v>
      </c>
      <c r="J144" s="28" t="s">
        <v>31</v>
      </c>
      <c r="K144" s="28">
        <v>34.0</v>
      </c>
      <c r="L144" s="26" t="str">
        <f t="shared" si="1"/>
        <v>Alto</v>
      </c>
      <c r="M144" s="31" t="str">
        <f t="shared" si="2"/>
        <v>Aceito</v>
      </c>
      <c r="N144" s="31" t="str">
        <f t="shared" si="3"/>
        <v>Positiva</v>
      </c>
      <c r="O144" s="32">
        <v>66000.0</v>
      </c>
      <c r="P144" s="32">
        <f t="shared" si="4"/>
        <v>71280</v>
      </c>
      <c r="Q144" s="26">
        <f t="shared" si="5"/>
        <v>1</v>
      </c>
    </row>
    <row r="145">
      <c r="A145" s="33" t="s">
        <v>76</v>
      </c>
      <c r="B145" s="33" t="s">
        <v>605</v>
      </c>
      <c r="C145" s="34" t="s">
        <v>606</v>
      </c>
      <c r="D145" s="35">
        <v>23.0</v>
      </c>
      <c r="E145" s="36">
        <v>37904.0</v>
      </c>
      <c r="F145" s="33" t="s">
        <v>78</v>
      </c>
      <c r="G145" s="33" t="s">
        <v>79</v>
      </c>
      <c r="H145" s="37">
        <v>2300.0</v>
      </c>
      <c r="I145" s="37">
        <v>0.0</v>
      </c>
      <c r="J145" s="35" t="s">
        <v>32</v>
      </c>
      <c r="K145" s="35">
        <v>29.0</v>
      </c>
      <c r="L145" s="33" t="str">
        <f t="shared" si="1"/>
        <v>Alto</v>
      </c>
      <c r="M145" s="38" t="str">
        <f t="shared" si="2"/>
        <v>Negado</v>
      </c>
      <c r="N145" s="38" t="str">
        <f t="shared" si="3"/>
        <v>Positiva</v>
      </c>
      <c r="O145" s="39">
        <v>51500.0</v>
      </c>
      <c r="P145" s="35">
        <f t="shared" si="4"/>
        <v>0</v>
      </c>
      <c r="Q145" s="33">
        <f t="shared" si="5"/>
        <v>1</v>
      </c>
    </row>
    <row r="146">
      <c r="A146" s="26" t="s">
        <v>71</v>
      </c>
      <c r="B146" s="26" t="s">
        <v>608</v>
      </c>
      <c r="C146" s="27" t="s">
        <v>609</v>
      </c>
      <c r="D146" s="28">
        <v>29.0</v>
      </c>
      <c r="E146" s="29">
        <v>35598.0</v>
      </c>
      <c r="F146" s="26" t="s">
        <v>270</v>
      </c>
      <c r="G146" s="26" t="s">
        <v>270</v>
      </c>
      <c r="H146" s="30">
        <v>15500.0</v>
      </c>
      <c r="I146" s="30">
        <v>75000.0</v>
      </c>
      <c r="J146" s="28" t="s">
        <v>31</v>
      </c>
      <c r="K146" s="28">
        <v>25.0</v>
      </c>
      <c r="L146" s="26" t="str">
        <f t="shared" si="1"/>
        <v>Médio</v>
      </c>
      <c r="M146" s="31" t="str">
        <f t="shared" si="2"/>
        <v>Aceito</v>
      </c>
      <c r="N146" s="31" t="str">
        <f t="shared" si="3"/>
        <v>Positiva</v>
      </c>
      <c r="O146" s="32">
        <v>47000.0</v>
      </c>
      <c r="P146" s="32">
        <f t="shared" si="4"/>
        <v>50760</v>
      </c>
      <c r="Q146" s="26">
        <f t="shared" si="5"/>
        <v>1</v>
      </c>
    </row>
    <row r="147">
      <c r="A147" s="33" t="s">
        <v>71</v>
      </c>
      <c r="B147" s="33" t="s">
        <v>611</v>
      </c>
      <c r="C147" s="34" t="s">
        <v>612</v>
      </c>
      <c r="D147" s="35">
        <v>72.0</v>
      </c>
      <c r="E147" s="36">
        <v>19839.0</v>
      </c>
      <c r="F147" s="33" t="s">
        <v>74</v>
      </c>
      <c r="G147" s="33" t="s">
        <v>75</v>
      </c>
      <c r="H147" s="37">
        <v>3900.0</v>
      </c>
      <c r="I147" s="37">
        <v>27000.0</v>
      </c>
      <c r="J147" s="35" t="s">
        <v>31</v>
      </c>
      <c r="K147" s="35">
        <v>33.0</v>
      </c>
      <c r="L147" s="33" t="str">
        <f t="shared" si="1"/>
        <v>Alto</v>
      </c>
      <c r="M147" s="38" t="str">
        <f t="shared" si="2"/>
        <v>Aceito</v>
      </c>
      <c r="N147" s="38" t="str">
        <f t="shared" si="3"/>
        <v>Positiva</v>
      </c>
      <c r="O147" s="39">
        <v>2000.0</v>
      </c>
      <c r="P147" s="39">
        <f t="shared" si="4"/>
        <v>2160</v>
      </c>
      <c r="Q147" s="33">
        <f t="shared" si="5"/>
        <v>1</v>
      </c>
    </row>
    <row r="148">
      <c r="A148" s="26" t="s">
        <v>71</v>
      </c>
      <c r="B148" s="26" t="s">
        <v>615</v>
      </c>
      <c r="C148" s="27" t="s">
        <v>616</v>
      </c>
      <c r="D148" s="28">
        <v>58.0</v>
      </c>
      <c r="E148" s="29">
        <v>25066.0</v>
      </c>
      <c r="F148" s="26" t="s">
        <v>258</v>
      </c>
      <c r="G148" s="26" t="s">
        <v>222</v>
      </c>
      <c r="H148" s="30">
        <v>4500.0</v>
      </c>
      <c r="I148" s="30" t="s">
        <v>84</v>
      </c>
      <c r="J148" s="28" t="s">
        <v>32</v>
      </c>
      <c r="K148" s="28">
        <v>31.0</v>
      </c>
      <c r="L148" s="26" t="str">
        <f t="shared" si="1"/>
        <v>Alto</v>
      </c>
      <c r="M148" s="31" t="str">
        <f t="shared" si="2"/>
        <v>Negado</v>
      </c>
      <c r="N148" s="31" t="str">
        <f t="shared" si="3"/>
        <v>Negativa</v>
      </c>
      <c r="O148" s="32">
        <v>97500.0</v>
      </c>
      <c r="P148" s="28">
        <f t="shared" si="4"/>
        <v>0</v>
      </c>
      <c r="Q148" s="26">
        <f t="shared" si="5"/>
        <v>0</v>
      </c>
    </row>
    <row r="149">
      <c r="A149" s="33" t="s">
        <v>71</v>
      </c>
      <c r="B149" s="33" t="s">
        <v>618</v>
      </c>
      <c r="C149" s="34">
        <v>20900.0</v>
      </c>
      <c r="D149" s="35">
        <v>33.0</v>
      </c>
      <c r="E149" s="36">
        <v>34021.0</v>
      </c>
      <c r="F149" s="33" t="s">
        <v>78</v>
      </c>
      <c r="G149" s="33" t="s">
        <v>79</v>
      </c>
      <c r="H149" s="37">
        <v>0.0</v>
      </c>
      <c r="I149" s="37">
        <v>73500.0</v>
      </c>
      <c r="J149" s="35" t="s">
        <v>31</v>
      </c>
      <c r="K149" s="35">
        <v>33.0</v>
      </c>
      <c r="L149" s="33" t="str">
        <f t="shared" si="1"/>
        <v>Alto</v>
      </c>
      <c r="M149" s="38" t="str">
        <f t="shared" si="2"/>
        <v>Aceito</v>
      </c>
      <c r="N149" s="38" t="str">
        <f t="shared" si="3"/>
        <v>Positiva</v>
      </c>
      <c r="O149" s="39">
        <v>95000.0</v>
      </c>
      <c r="P149" s="39">
        <f t="shared" si="4"/>
        <v>102600</v>
      </c>
      <c r="Q149" s="33">
        <f t="shared" si="5"/>
        <v>1</v>
      </c>
    </row>
    <row r="150">
      <c r="A150" s="26" t="s">
        <v>71</v>
      </c>
      <c r="B150" s="26" t="s">
        <v>619</v>
      </c>
      <c r="C150" s="27">
        <v>36900.0</v>
      </c>
      <c r="D150" s="28">
        <v>61.0</v>
      </c>
      <c r="E150" s="29">
        <v>23928.0</v>
      </c>
      <c r="F150" s="26" t="s">
        <v>428</v>
      </c>
      <c r="G150" s="26" t="s">
        <v>79</v>
      </c>
      <c r="H150" s="30">
        <v>22900.0</v>
      </c>
      <c r="I150" s="30">
        <v>7500.0</v>
      </c>
      <c r="J150" s="28" t="s">
        <v>31</v>
      </c>
      <c r="K150" s="28">
        <v>12.0</v>
      </c>
      <c r="L150" s="26" t="str">
        <f t="shared" si="1"/>
        <v>Médio</v>
      </c>
      <c r="M150" s="31" t="str">
        <f t="shared" si="2"/>
        <v>Aceito</v>
      </c>
      <c r="N150" s="31" t="str">
        <f t="shared" si="3"/>
        <v>Positiva</v>
      </c>
      <c r="O150" s="32">
        <v>73000.0</v>
      </c>
      <c r="P150" s="32">
        <f t="shared" si="4"/>
        <v>78840</v>
      </c>
      <c r="Q150" s="26">
        <f t="shared" si="5"/>
        <v>1</v>
      </c>
    </row>
    <row r="151">
      <c r="A151" s="33" t="s">
        <v>71</v>
      </c>
      <c r="B151" s="33" t="s">
        <v>620</v>
      </c>
      <c r="C151" s="34" t="s">
        <v>621</v>
      </c>
      <c r="D151" s="35">
        <v>73.0</v>
      </c>
      <c r="E151" s="36">
        <v>19363.0</v>
      </c>
      <c r="F151" s="33" t="s">
        <v>258</v>
      </c>
      <c r="G151" s="33" t="s">
        <v>222</v>
      </c>
      <c r="H151" s="37">
        <v>23000.0</v>
      </c>
      <c r="I151" s="37">
        <v>19000.0</v>
      </c>
      <c r="J151" s="35" t="s">
        <v>31</v>
      </c>
      <c r="K151" s="35">
        <v>0.0</v>
      </c>
      <c r="L151" s="33" t="str">
        <f t="shared" si="1"/>
        <v>Baixo</v>
      </c>
      <c r="M151" s="38" t="str">
        <f t="shared" si="2"/>
        <v>Aceito</v>
      </c>
      <c r="N151" s="38" t="str">
        <f t="shared" si="3"/>
        <v>Positiva</v>
      </c>
      <c r="O151" s="39">
        <v>17000.0</v>
      </c>
      <c r="P151" s="39">
        <f t="shared" si="4"/>
        <v>18360</v>
      </c>
      <c r="Q151" s="33">
        <f t="shared" si="5"/>
        <v>1</v>
      </c>
    </row>
    <row r="152">
      <c r="A152" s="26" t="s">
        <v>71</v>
      </c>
      <c r="B152" s="26" t="s">
        <v>623</v>
      </c>
      <c r="C152" s="27">
        <v>6900.0</v>
      </c>
      <c r="D152" s="28">
        <v>51.0</v>
      </c>
      <c r="E152" s="29">
        <v>27590.0</v>
      </c>
      <c r="F152" s="26" t="s">
        <v>203</v>
      </c>
      <c r="G152" s="26" t="s">
        <v>205</v>
      </c>
      <c r="H152" s="30">
        <v>19400.0</v>
      </c>
      <c r="I152" s="30">
        <v>4000.0</v>
      </c>
      <c r="J152" s="28" t="s">
        <v>31</v>
      </c>
      <c r="K152" s="28">
        <v>30.0</v>
      </c>
      <c r="L152" s="26" t="str">
        <f t="shared" si="1"/>
        <v>Alto</v>
      </c>
      <c r="M152" s="31" t="str">
        <f t="shared" si="2"/>
        <v>Aceito</v>
      </c>
      <c r="N152" s="31" t="str">
        <f t="shared" si="3"/>
        <v>Positiva</v>
      </c>
      <c r="O152" s="32">
        <v>38500.0</v>
      </c>
      <c r="P152" s="32">
        <f t="shared" si="4"/>
        <v>41580</v>
      </c>
      <c r="Q152" s="26">
        <f t="shared" si="5"/>
        <v>1</v>
      </c>
    </row>
    <row r="153">
      <c r="A153" s="33" t="s">
        <v>340</v>
      </c>
      <c r="B153" s="33" t="s">
        <v>624</v>
      </c>
      <c r="C153" s="34" t="s">
        <v>625</v>
      </c>
      <c r="D153" s="35">
        <v>44.0</v>
      </c>
      <c r="E153" s="36">
        <v>30309.0</v>
      </c>
      <c r="F153" s="33" t="s">
        <v>342</v>
      </c>
      <c r="G153" s="33" t="s">
        <v>437</v>
      </c>
      <c r="H153" s="37">
        <v>18400.0</v>
      </c>
      <c r="I153" s="37">
        <v>62000.0</v>
      </c>
      <c r="J153" s="35" t="s">
        <v>31</v>
      </c>
      <c r="K153" s="35">
        <v>33.0</v>
      </c>
      <c r="L153" s="33" t="str">
        <f t="shared" si="1"/>
        <v>Alto</v>
      </c>
      <c r="M153" s="38" t="str">
        <f t="shared" si="2"/>
        <v>Aceito</v>
      </c>
      <c r="N153" s="38" t="str">
        <f t="shared" si="3"/>
        <v>Positiva</v>
      </c>
      <c r="O153" s="39">
        <v>31000.0</v>
      </c>
      <c r="P153" s="35">
        <f t="shared" si="4"/>
        <v>0</v>
      </c>
      <c r="Q153" s="33">
        <f t="shared" si="5"/>
        <v>1</v>
      </c>
    </row>
    <row r="154">
      <c r="A154" s="26" t="s">
        <v>71</v>
      </c>
      <c r="B154" s="26" t="s">
        <v>629</v>
      </c>
      <c r="C154" s="27" t="s">
        <v>630</v>
      </c>
      <c r="D154" s="28">
        <v>63.0</v>
      </c>
      <c r="E154" s="29">
        <v>23119.0</v>
      </c>
      <c r="F154" s="26" t="s">
        <v>74</v>
      </c>
      <c r="G154" s="26" t="s">
        <v>75</v>
      </c>
      <c r="H154" s="30">
        <v>9300.0</v>
      </c>
      <c r="I154" s="30">
        <v>48500.0</v>
      </c>
      <c r="J154" s="28" t="s">
        <v>31</v>
      </c>
      <c r="K154" s="28">
        <v>28.0</v>
      </c>
      <c r="L154" s="26" t="str">
        <f t="shared" si="1"/>
        <v>Alto</v>
      </c>
      <c r="M154" s="31" t="str">
        <f t="shared" si="2"/>
        <v>Aceito</v>
      </c>
      <c r="N154" s="31" t="str">
        <f t="shared" si="3"/>
        <v>Positiva</v>
      </c>
      <c r="O154" s="32">
        <v>20000.0</v>
      </c>
      <c r="P154" s="32">
        <f t="shared" si="4"/>
        <v>21600</v>
      </c>
      <c r="Q154" s="26">
        <f t="shared" si="5"/>
        <v>1</v>
      </c>
    </row>
    <row r="155">
      <c r="A155" s="33" t="s">
        <v>76</v>
      </c>
      <c r="B155" s="33" t="s">
        <v>631</v>
      </c>
      <c r="C155" s="34" t="s">
        <v>632</v>
      </c>
      <c r="D155" s="35">
        <v>64.0</v>
      </c>
      <c r="E155" s="36">
        <v>22776.0</v>
      </c>
      <c r="F155" s="33" t="s">
        <v>136</v>
      </c>
      <c r="G155" s="33" t="s">
        <v>117</v>
      </c>
      <c r="H155" s="37">
        <v>29000.0</v>
      </c>
      <c r="I155" s="37">
        <v>36500.0</v>
      </c>
      <c r="J155" s="35" t="s">
        <v>31</v>
      </c>
      <c r="K155" s="35">
        <v>38.0</v>
      </c>
      <c r="L155" s="33" t="str">
        <f t="shared" si="1"/>
        <v>Alto</v>
      </c>
      <c r="M155" s="38" t="str">
        <f t="shared" si="2"/>
        <v>Aceito</v>
      </c>
      <c r="N155" s="38" t="str">
        <f t="shared" si="3"/>
        <v>Positiva</v>
      </c>
      <c r="O155" s="39">
        <v>47000.0</v>
      </c>
      <c r="P155" s="35">
        <f t="shared" si="4"/>
        <v>0</v>
      </c>
      <c r="Q155" s="33">
        <f t="shared" si="5"/>
        <v>1</v>
      </c>
    </row>
    <row r="156">
      <c r="A156" s="26" t="s">
        <v>71</v>
      </c>
      <c r="B156" s="26" t="s">
        <v>634</v>
      </c>
      <c r="C156" s="27">
        <v>23700.0</v>
      </c>
      <c r="D156" s="28">
        <v>74.0</v>
      </c>
      <c r="E156" s="29">
        <v>19234.0</v>
      </c>
      <c r="F156" s="26" t="s">
        <v>258</v>
      </c>
      <c r="G156" s="26" t="s">
        <v>222</v>
      </c>
      <c r="H156" s="30">
        <v>8900.0</v>
      </c>
      <c r="I156" s="30">
        <v>4000.0</v>
      </c>
      <c r="J156" s="28" t="s">
        <v>31</v>
      </c>
      <c r="K156" s="28">
        <v>38.0</v>
      </c>
      <c r="L156" s="26" t="str">
        <f t="shared" si="1"/>
        <v>Alto</v>
      </c>
      <c r="M156" s="31" t="str">
        <f t="shared" si="2"/>
        <v>Aceito</v>
      </c>
      <c r="N156" s="31" t="str">
        <f t="shared" si="3"/>
        <v>Positiva</v>
      </c>
      <c r="O156" s="32">
        <v>22500.0</v>
      </c>
      <c r="P156" s="32">
        <f t="shared" si="4"/>
        <v>24300</v>
      </c>
      <c r="Q156" s="26">
        <f t="shared" si="5"/>
        <v>1</v>
      </c>
    </row>
    <row r="157">
      <c r="A157" s="33" t="s">
        <v>71</v>
      </c>
      <c r="B157" s="33" t="s">
        <v>636</v>
      </c>
      <c r="C157" s="34" t="s">
        <v>637</v>
      </c>
      <c r="D157" s="35">
        <v>61.0</v>
      </c>
      <c r="E157" s="36">
        <v>23813.0</v>
      </c>
      <c r="F157" s="33" t="s">
        <v>136</v>
      </c>
      <c r="G157" s="33" t="s">
        <v>117</v>
      </c>
      <c r="H157" s="37">
        <v>26300.0</v>
      </c>
      <c r="I157" s="37">
        <v>40000.0</v>
      </c>
      <c r="J157" s="35" t="s">
        <v>32</v>
      </c>
      <c r="K157" s="35">
        <v>10.0</v>
      </c>
      <c r="L157" s="33" t="str">
        <f t="shared" si="1"/>
        <v>Baixo</v>
      </c>
      <c r="M157" s="38" t="str">
        <f t="shared" si="2"/>
        <v>Aceito</v>
      </c>
      <c r="N157" s="38" t="str">
        <f t="shared" si="3"/>
        <v>Positiva</v>
      </c>
      <c r="O157" s="39">
        <v>16500.0</v>
      </c>
      <c r="P157" s="39">
        <f t="shared" si="4"/>
        <v>17820</v>
      </c>
      <c r="Q157" s="33">
        <f t="shared" si="5"/>
        <v>1</v>
      </c>
    </row>
    <row r="158">
      <c r="A158" s="26" t="s">
        <v>71</v>
      </c>
      <c r="B158" s="26" t="s">
        <v>639</v>
      </c>
      <c r="C158" s="27" t="s">
        <v>640</v>
      </c>
      <c r="D158" s="28">
        <v>54.0</v>
      </c>
      <c r="E158" s="29">
        <v>26631.0</v>
      </c>
      <c r="F158" s="26" t="s">
        <v>342</v>
      </c>
      <c r="G158" s="26" t="s">
        <v>437</v>
      </c>
      <c r="H158" s="30">
        <v>22700.0</v>
      </c>
      <c r="I158" s="30">
        <v>42500.0</v>
      </c>
      <c r="J158" s="28" t="s">
        <v>32</v>
      </c>
      <c r="K158" s="28">
        <v>25.0</v>
      </c>
      <c r="L158" s="26" t="str">
        <f t="shared" si="1"/>
        <v>Médio</v>
      </c>
      <c r="M158" s="31" t="str">
        <f t="shared" si="2"/>
        <v>Aceito</v>
      </c>
      <c r="N158" s="31" t="str">
        <f t="shared" si="3"/>
        <v>Positiva</v>
      </c>
      <c r="O158" s="32">
        <v>86000.0</v>
      </c>
      <c r="P158" s="32">
        <f t="shared" si="4"/>
        <v>92880</v>
      </c>
      <c r="Q158" s="26">
        <f t="shared" si="5"/>
        <v>1</v>
      </c>
    </row>
    <row r="159">
      <c r="A159" s="33" t="s">
        <v>71</v>
      </c>
      <c r="B159" s="33" t="s">
        <v>643</v>
      </c>
      <c r="C159" s="34" t="s">
        <v>644</v>
      </c>
      <c r="D159" s="35">
        <v>48.0</v>
      </c>
      <c r="E159" s="36">
        <v>28673.0</v>
      </c>
      <c r="F159" s="33" t="s">
        <v>342</v>
      </c>
      <c r="G159" s="33" t="s">
        <v>437</v>
      </c>
      <c r="H159" s="37">
        <v>2300.0</v>
      </c>
      <c r="I159" s="37">
        <v>26500.0</v>
      </c>
      <c r="J159" s="35" t="s">
        <v>31</v>
      </c>
      <c r="K159" s="35">
        <v>44.0</v>
      </c>
      <c r="L159" s="33" t="str">
        <f t="shared" si="1"/>
        <v>Alto</v>
      </c>
      <c r="M159" s="38" t="str">
        <f t="shared" si="2"/>
        <v>Aceito</v>
      </c>
      <c r="N159" s="38" t="str">
        <f t="shared" si="3"/>
        <v>Positiva</v>
      </c>
      <c r="O159" s="39">
        <v>81000.0</v>
      </c>
      <c r="P159" s="39">
        <f t="shared" si="4"/>
        <v>87480</v>
      </c>
      <c r="Q159" s="33">
        <f t="shared" si="5"/>
        <v>1</v>
      </c>
    </row>
    <row r="160">
      <c r="A160" s="26" t="s">
        <v>71</v>
      </c>
      <c r="B160" s="26" t="s">
        <v>646</v>
      </c>
      <c r="C160" s="27" t="s">
        <v>647</v>
      </c>
      <c r="D160" s="28">
        <v>22.0</v>
      </c>
      <c r="E160" s="29">
        <v>38001.0</v>
      </c>
      <c r="F160" s="26" t="s">
        <v>246</v>
      </c>
      <c r="G160" s="26" t="s">
        <v>205</v>
      </c>
      <c r="H160" s="30">
        <v>2100.0</v>
      </c>
      <c r="I160" s="30">
        <v>79500.0</v>
      </c>
      <c r="J160" s="28" t="s">
        <v>32</v>
      </c>
      <c r="K160" s="28">
        <v>29.0</v>
      </c>
      <c r="L160" s="26" t="str">
        <f t="shared" si="1"/>
        <v>Alto</v>
      </c>
      <c r="M160" s="31" t="str">
        <f t="shared" si="2"/>
        <v>Negado</v>
      </c>
      <c r="N160" s="31" t="str">
        <f t="shared" si="3"/>
        <v>Negativa</v>
      </c>
      <c r="O160" s="32">
        <v>64000.0</v>
      </c>
      <c r="P160" s="28">
        <f t="shared" si="4"/>
        <v>0</v>
      </c>
      <c r="Q160" s="26">
        <f t="shared" si="5"/>
        <v>0</v>
      </c>
    </row>
    <row r="161">
      <c r="A161" s="33" t="s">
        <v>76</v>
      </c>
      <c r="B161" s="33" t="s">
        <v>648</v>
      </c>
      <c r="C161" s="34" t="s">
        <v>649</v>
      </c>
      <c r="D161" s="35">
        <v>34.0</v>
      </c>
      <c r="E161" s="36">
        <v>33955.0</v>
      </c>
      <c r="F161" s="33" t="s">
        <v>255</v>
      </c>
      <c r="G161" s="33" t="s">
        <v>205</v>
      </c>
      <c r="H161" s="37">
        <v>25700.0</v>
      </c>
      <c r="I161" s="37">
        <v>35000.0</v>
      </c>
      <c r="J161" s="35" t="s">
        <v>31</v>
      </c>
      <c r="K161" s="35">
        <v>40.0</v>
      </c>
      <c r="L161" s="33" t="str">
        <f t="shared" si="1"/>
        <v>Alto</v>
      </c>
      <c r="M161" s="38" t="str">
        <f t="shared" si="2"/>
        <v>Aceito</v>
      </c>
      <c r="N161" s="38" t="str">
        <f t="shared" si="3"/>
        <v>Positiva</v>
      </c>
      <c r="O161" s="39">
        <v>1000.0</v>
      </c>
      <c r="P161" s="35">
        <f t="shared" si="4"/>
        <v>0</v>
      </c>
      <c r="Q161" s="33">
        <f t="shared" si="5"/>
        <v>1</v>
      </c>
    </row>
    <row r="162">
      <c r="A162" s="26" t="s">
        <v>71</v>
      </c>
      <c r="B162" s="26" t="s">
        <v>651</v>
      </c>
      <c r="C162" s="27">
        <v>27300.0</v>
      </c>
      <c r="D162" s="28">
        <v>67.0</v>
      </c>
      <c r="E162" s="29">
        <v>21873.0</v>
      </c>
      <c r="F162" s="26" t="s">
        <v>246</v>
      </c>
      <c r="G162" s="26" t="s">
        <v>205</v>
      </c>
      <c r="H162" s="30">
        <v>9900.0</v>
      </c>
      <c r="I162" s="30">
        <v>42000.0</v>
      </c>
      <c r="J162" s="28" t="s">
        <v>31</v>
      </c>
      <c r="K162" s="28">
        <v>13.0</v>
      </c>
      <c r="L162" s="26" t="str">
        <f t="shared" si="1"/>
        <v>Médio</v>
      </c>
      <c r="M162" s="31" t="str">
        <f t="shared" si="2"/>
        <v>Aceito</v>
      </c>
      <c r="N162" s="31" t="str">
        <f t="shared" si="3"/>
        <v>Positiva</v>
      </c>
      <c r="O162" s="32">
        <v>37000.0</v>
      </c>
      <c r="P162" s="32">
        <f t="shared" si="4"/>
        <v>39960</v>
      </c>
      <c r="Q162" s="26">
        <f t="shared" si="5"/>
        <v>1</v>
      </c>
    </row>
    <row r="163">
      <c r="A163" s="33" t="s">
        <v>76</v>
      </c>
      <c r="B163" s="33" t="s">
        <v>813</v>
      </c>
      <c r="C163" s="34">
        <v>33700.0</v>
      </c>
      <c r="D163" s="35">
        <v>44.0</v>
      </c>
      <c r="E163" s="36">
        <v>30167.0</v>
      </c>
      <c r="F163" s="33" t="s">
        <v>221</v>
      </c>
      <c r="G163" s="33" t="s">
        <v>222</v>
      </c>
      <c r="H163" s="37">
        <v>5500.0</v>
      </c>
      <c r="I163" s="37">
        <v>26000.0</v>
      </c>
      <c r="J163" s="35" t="s">
        <v>31</v>
      </c>
      <c r="K163" s="35">
        <v>30.0</v>
      </c>
      <c r="L163" s="33" t="str">
        <f t="shared" si="1"/>
        <v>Alto</v>
      </c>
      <c r="M163" s="38" t="str">
        <f t="shared" si="2"/>
        <v>Aceito</v>
      </c>
      <c r="N163" s="38" t="str">
        <f t="shared" si="3"/>
        <v>Positiva</v>
      </c>
      <c r="O163" s="39">
        <v>64000.0</v>
      </c>
      <c r="P163" s="35">
        <f t="shared" si="4"/>
        <v>0</v>
      </c>
      <c r="Q163" s="33">
        <f t="shared" si="5"/>
        <v>1</v>
      </c>
    </row>
    <row r="164">
      <c r="A164" s="26" t="s">
        <v>71</v>
      </c>
      <c r="B164" s="26" t="s">
        <v>657</v>
      </c>
      <c r="C164" s="27" t="s">
        <v>658</v>
      </c>
      <c r="D164" s="28">
        <v>33.0</v>
      </c>
      <c r="E164" s="29">
        <v>34066.0</v>
      </c>
      <c r="F164" s="26" t="s">
        <v>203</v>
      </c>
      <c r="G164" s="26" t="s">
        <v>205</v>
      </c>
      <c r="H164" s="30">
        <v>2400.0</v>
      </c>
      <c r="I164" s="30">
        <v>78000.0</v>
      </c>
      <c r="J164" s="28" t="s">
        <v>31</v>
      </c>
      <c r="K164" s="28">
        <v>6.0</v>
      </c>
      <c r="L164" s="26" t="str">
        <f t="shared" si="1"/>
        <v>Baixo</v>
      </c>
      <c r="M164" s="31" t="str">
        <f t="shared" si="2"/>
        <v>Aceito</v>
      </c>
      <c r="N164" s="31" t="str">
        <f t="shared" si="3"/>
        <v>Positiva</v>
      </c>
      <c r="O164" s="32">
        <v>28000.0</v>
      </c>
      <c r="P164" s="32">
        <f t="shared" si="4"/>
        <v>30240</v>
      </c>
      <c r="Q164" s="26">
        <f t="shared" si="5"/>
        <v>1</v>
      </c>
    </row>
    <row r="165">
      <c r="A165" s="33" t="s">
        <v>71</v>
      </c>
      <c r="B165" s="33" t="s">
        <v>660</v>
      </c>
      <c r="C165" s="34" t="s">
        <v>661</v>
      </c>
      <c r="D165" s="35">
        <v>51.0</v>
      </c>
      <c r="E165" s="36">
        <v>27505.0</v>
      </c>
      <c r="F165" s="33" t="s">
        <v>974</v>
      </c>
      <c r="G165" s="33" t="s">
        <v>437</v>
      </c>
      <c r="H165" s="37">
        <v>7200.0</v>
      </c>
      <c r="I165" s="37">
        <v>17500.0</v>
      </c>
      <c r="J165" s="35" t="s">
        <v>32</v>
      </c>
      <c r="K165" s="35">
        <v>40.0</v>
      </c>
      <c r="L165" s="33" t="str">
        <f t="shared" si="1"/>
        <v>Alto</v>
      </c>
      <c r="M165" s="38" t="str">
        <f t="shared" si="2"/>
        <v>Negado</v>
      </c>
      <c r="N165" s="38" t="str">
        <f t="shared" si="3"/>
        <v>Positiva</v>
      </c>
      <c r="O165" s="39">
        <v>5500.0</v>
      </c>
      <c r="P165" s="39">
        <f t="shared" si="4"/>
        <v>5940</v>
      </c>
      <c r="Q165" s="33">
        <f t="shared" si="5"/>
        <v>1</v>
      </c>
    </row>
    <row r="166">
      <c r="A166" s="26" t="s">
        <v>71</v>
      </c>
      <c r="B166" s="26" t="s">
        <v>666</v>
      </c>
      <c r="C166" s="27"/>
      <c r="D166" s="28">
        <v>61.0</v>
      </c>
      <c r="E166" s="29">
        <v>23932.0</v>
      </c>
      <c r="F166" s="26" t="s">
        <v>193</v>
      </c>
      <c r="G166" s="26" t="s">
        <v>195</v>
      </c>
      <c r="H166" s="30">
        <v>4100.0</v>
      </c>
      <c r="I166" s="30">
        <v>78000.0</v>
      </c>
      <c r="J166" s="28" t="s">
        <v>31</v>
      </c>
      <c r="K166" s="28">
        <v>25.0</v>
      </c>
      <c r="L166" s="26" t="str">
        <f t="shared" si="1"/>
        <v>Médio</v>
      </c>
      <c r="M166" s="31" t="str">
        <f t="shared" si="2"/>
        <v>Aceito</v>
      </c>
      <c r="N166" s="31" t="str">
        <f t="shared" si="3"/>
        <v>Positiva</v>
      </c>
      <c r="O166" s="32">
        <v>48000.0</v>
      </c>
      <c r="P166" s="32">
        <f t="shared" si="4"/>
        <v>51840</v>
      </c>
      <c r="Q166" s="26">
        <f t="shared" si="5"/>
        <v>1</v>
      </c>
    </row>
    <row r="167">
      <c r="A167" s="33" t="s">
        <v>71</v>
      </c>
      <c r="B167" s="33" t="s">
        <v>667</v>
      </c>
      <c r="C167" s="34">
        <v>18800.0</v>
      </c>
      <c r="D167" s="35">
        <v>43.0</v>
      </c>
      <c r="E167" s="36">
        <v>30355.0</v>
      </c>
      <c r="F167" s="33" t="s">
        <v>234</v>
      </c>
      <c r="G167" s="33" t="s">
        <v>205</v>
      </c>
      <c r="H167" s="37">
        <v>21700.0</v>
      </c>
      <c r="I167" s="37">
        <v>31000.0</v>
      </c>
      <c r="J167" s="35" t="s">
        <v>31</v>
      </c>
      <c r="K167" s="35">
        <v>27.0</v>
      </c>
      <c r="L167" s="33" t="str">
        <f t="shared" si="1"/>
        <v>Alto</v>
      </c>
      <c r="M167" s="38" t="str">
        <f t="shared" si="2"/>
        <v>Aceito</v>
      </c>
      <c r="N167" s="38" t="str">
        <f t="shared" si="3"/>
        <v>Positiva</v>
      </c>
      <c r="O167" s="39">
        <v>45500.0</v>
      </c>
      <c r="P167" s="39">
        <f t="shared" si="4"/>
        <v>49140</v>
      </c>
      <c r="Q167" s="33">
        <f t="shared" si="5"/>
        <v>1</v>
      </c>
    </row>
    <row r="168">
      <c r="A168" s="26" t="s">
        <v>76</v>
      </c>
      <c r="B168" s="26" t="s">
        <v>669</v>
      </c>
      <c r="C168" s="27" t="s">
        <v>670</v>
      </c>
      <c r="D168" s="28">
        <v>56.0</v>
      </c>
      <c r="E168" s="29">
        <v>25808.0</v>
      </c>
      <c r="F168" s="26" t="s">
        <v>221</v>
      </c>
      <c r="G168" s="26" t="s">
        <v>222</v>
      </c>
      <c r="H168" s="30">
        <v>5400.0</v>
      </c>
      <c r="I168" s="30">
        <v>61000.0</v>
      </c>
      <c r="J168" s="28" t="s">
        <v>31</v>
      </c>
      <c r="K168" s="28">
        <v>12.0</v>
      </c>
      <c r="L168" s="26" t="str">
        <f t="shared" si="1"/>
        <v>Médio</v>
      </c>
      <c r="M168" s="31" t="str">
        <f t="shared" si="2"/>
        <v>Aceito</v>
      </c>
      <c r="N168" s="31" t="str">
        <f t="shared" si="3"/>
        <v>Positiva</v>
      </c>
      <c r="O168" s="32">
        <v>96500.0</v>
      </c>
      <c r="P168" s="28">
        <f t="shared" si="4"/>
        <v>0</v>
      </c>
      <c r="Q168" s="26">
        <f t="shared" si="5"/>
        <v>1</v>
      </c>
    </row>
    <row r="169">
      <c r="A169" s="33" t="s">
        <v>76</v>
      </c>
      <c r="B169" s="33" t="s">
        <v>673</v>
      </c>
      <c r="C169" s="34">
        <v>10200.0</v>
      </c>
      <c r="D169" s="35">
        <v>35.0</v>
      </c>
      <c r="E169" s="36">
        <v>33444.0</v>
      </c>
      <c r="F169" s="33" t="s">
        <v>82</v>
      </c>
      <c r="G169" s="33" t="s">
        <v>83</v>
      </c>
      <c r="H169" s="37">
        <v>8400.0</v>
      </c>
      <c r="I169" s="37">
        <v>62500.0</v>
      </c>
      <c r="J169" s="35" t="s">
        <v>31</v>
      </c>
      <c r="K169" s="35">
        <v>31.0</v>
      </c>
      <c r="L169" s="33" t="str">
        <f t="shared" si="1"/>
        <v>Alto</v>
      </c>
      <c r="M169" s="38" t="str">
        <f t="shared" si="2"/>
        <v>Aceito</v>
      </c>
      <c r="N169" s="38" t="str">
        <f t="shared" si="3"/>
        <v>Positiva</v>
      </c>
      <c r="O169" s="39">
        <v>83500.0</v>
      </c>
      <c r="P169" s="35">
        <f t="shared" si="4"/>
        <v>0</v>
      </c>
      <c r="Q169" s="33">
        <f t="shared" si="5"/>
        <v>1</v>
      </c>
    </row>
    <row r="170">
      <c r="A170" s="26" t="s">
        <v>76</v>
      </c>
      <c r="B170" s="26" t="s">
        <v>675</v>
      </c>
      <c r="C170" s="27" t="s">
        <v>676</v>
      </c>
      <c r="D170" s="28">
        <v>45.0</v>
      </c>
      <c r="E170" s="29">
        <v>29948.0</v>
      </c>
      <c r="F170" s="26" t="s">
        <v>270</v>
      </c>
      <c r="G170" s="26" t="s">
        <v>270</v>
      </c>
      <c r="H170" s="30">
        <v>0.0</v>
      </c>
      <c r="I170" s="30">
        <v>0.0</v>
      </c>
      <c r="J170" s="28" t="s">
        <v>31</v>
      </c>
      <c r="K170" s="28">
        <v>4.0</v>
      </c>
      <c r="L170" s="26" t="str">
        <f t="shared" si="1"/>
        <v>Baixo</v>
      </c>
      <c r="M170" s="31" t="str">
        <f t="shared" si="2"/>
        <v>Aceito</v>
      </c>
      <c r="N170" s="31" t="str">
        <f t="shared" si="3"/>
        <v>Positiva</v>
      </c>
      <c r="O170" s="32">
        <v>80000.0</v>
      </c>
      <c r="P170" s="28">
        <f t="shared" si="4"/>
        <v>0</v>
      </c>
      <c r="Q170" s="26">
        <f t="shared" si="5"/>
        <v>1</v>
      </c>
    </row>
    <row r="171">
      <c r="A171" s="33" t="s">
        <v>71</v>
      </c>
      <c r="B171" s="33" t="s">
        <v>677</v>
      </c>
      <c r="C171" s="34" t="s">
        <v>678</v>
      </c>
      <c r="D171" s="35">
        <v>31.0</v>
      </c>
      <c r="E171" s="36">
        <v>34913.0</v>
      </c>
      <c r="F171" s="33" t="s">
        <v>221</v>
      </c>
      <c r="G171" s="33" t="s">
        <v>222</v>
      </c>
      <c r="H171" s="37">
        <v>22600.0</v>
      </c>
      <c r="I171" s="37">
        <v>58000.0</v>
      </c>
      <c r="J171" s="35" t="s">
        <v>31</v>
      </c>
      <c r="K171" s="35">
        <v>5.0</v>
      </c>
      <c r="L171" s="33" t="str">
        <f t="shared" si="1"/>
        <v>Baixo</v>
      </c>
      <c r="M171" s="38" t="str">
        <f t="shared" si="2"/>
        <v>Aceito</v>
      </c>
      <c r="N171" s="38" t="str">
        <f t="shared" si="3"/>
        <v>Positiva</v>
      </c>
      <c r="O171" s="39">
        <v>26500.0</v>
      </c>
      <c r="P171" s="39">
        <f t="shared" si="4"/>
        <v>28620</v>
      </c>
      <c r="Q171" s="33">
        <f t="shared" si="5"/>
        <v>1</v>
      </c>
    </row>
    <row r="172">
      <c r="A172" s="26" t="s">
        <v>71</v>
      </c>
      <c r="B172" s="26" t="s">
        <v>305</v>
      </c>
      <c r="C172" s="27">
        <v>4000.0</v>
      </c>
      <c r="D172" s="28">
        <v>48.0</v>
      </c>
      <c r="E172" s="29">
        <v>28663.0</v>
      </c>
      <c r="F172" s="26" t="s">
        <v>316</v>
      </c>
      <c r="G172" s="26" t="s">
        <v>83</v>
      </c>
      <c r="H172" s="30">
        <v>24700.0</v>
      </c>
      <c r="I172" s="30">
        <v>30500.0</v>
      </c>
      <c r="J172" s="28" t="s">
        <v>31</v>
      </c>
      <c r="K172" s="28">
        <v>34.0</v>
      </c>
      <c r="L172" s="26" t="str">
        <f t="shared" si="1"/>
        <v>Alto</v>
      </c>
      <c r="M172" s="31" t="str">
        <f t="shared" si="2"/>
        <v>Aceito</v>
      </c>
      <c r="N172" s="31" t="str">
        <f t="shared" si="3"/>
        <v>Positiva</v>
      </c>
      <c r="O172" s="32">
        <v>87500.0</v>
      </c>
      <c r="P172" s="32">
        <f t="shared" si="4"/>
        <v>94500</v>
      </c>
      <c r="Q172" s="26">
        <f t="shared" si="5"/>
        <v>1</v>
      </c>
    </row>
    <row r="173">
      <c r="A173" s="33" t="s">
        <v>71</v>
      </c>
      <c r="B173" s="33" t="s">
        <v>682</v>
      </c>
      <c r="C173" s="34" t="s">
        <v>683</v>
      </c>
      <c r="D173" s="35">
        <v>30.0</v>
      </c>
      <c r="E173" s="36">
        <v>35213.0</v>
      </c>
      <c r="F173" s="33" t="s">
        <v>672</v>
      </c>
      <c r="G173" s="33" t="s">
        <v>222</v>
      </c>
      <c r="H173" s="37">
        <v>3900.0</v>
      </c>
      <c r="I173" s="37">
        <v>45000.0</v>
      </c>
      <c r="J173" s="35" t="s">
        <v>31</v>
      </c>
      <c r="K173" s="35">
        <v>34.0</v>
      </c>
      <c r="L173" s="33" t="str">
        <f t="shared" si="1"/>
        <v>Alto</v>
      </c>
      <c r="M173" s="38" t="str">
        <f t="shared" si="2"/>
        <v>Aceito</v>
      </c>
      <c r="N173" s="38" t="str">
        <f t="shared" si="3"/>
        <v>Positiva</v>
      </c>
      <c r="O173" s="39">
        <v>41500.0</v>
      </c>
      <c r="P173" s="39">
        <f t="shared" si="4"/>
        <v>44820</v>
      </c>
      <c r="Q173" s="33">
        <f t="shared" si="5"/>
        <v>1</v>
      </c>
    </row>
    <row r="174">
      <c r="A174" s="26" t="s">
        <v>76</v>
      </c>
      <c r="B174" s="26" t="s">
        <v>684</v>
      </c>
      <c r="C174" s="27" t="s">
        <v>685</v>
      </c>
      <c r="D174" s="28">
        <v>22.0</v>
      </c>
      <c r="E174" s="29">
        <v>38180.0</v>
      </c>
      <c r="F174" s="26" t="s">
        <v>100</v>
      </c>
      <c r="G174" s="26" t="s">
        <v>88</v>
      </c>
      <c r="H174" s="30">
        <v>4400.0</v>
      </c>
      <c r="I174" s="30">
        <v>23500.0</v>
      </c>
      <c r="J174" s="28" t="s">
        <v>32</v>
      </c>
      <c r="K174" s="28">
        <v>31.0</v>
      </c>
      <c r="L174" s="26" t="str">
        <f t="shared" si="1"/>
        <v>Alto</v>
      </c>
      <c r="M174" s="31" t="str">
        <f t="shared" si="2"/>
        <v>Negado</v>
      </c>
      <c r="N174" s="31" t="str">
        <f t="shared" si="3"/>
        <v>Positiva</v>
      </c>
      <c r="O174" s="32">
        <v>91000.0</v>
      </c>
      <c r="P174" s="28">
        <f t="shared" si="4"/>
        <v>0</v>
      </c>
      <c r="Q174" s="26">
        <f t="shared" si="5"/>
        <v>1</v>
      </c>
    </row>
    <row r="175">
      <c r="A175" s="33" t="s">
        <v>71</v>
      </c>
      <c r="B175" s="33" t="s">
        <v>988</v>
      </c>
      <c r="C175" s="34">
        <v>30000.0</v>
      </c>
      <c r="D175" s="35">
        <v>48.0</v>
      </c>
      <c r="E175" s="36">
        <v>28509.0</v>
      </c>
      <c r="F175" s="33" t="s">
        <v>253</v>
      </c>
      <c r="G175" s="33" t="s">
        <v>195</v>
      </c>
      <c r="H175" s="37">
        <v>17800.0</v>
      </c>
      <c r="I175" s="37">
        <v>9000.0</v>
      </c>
      <c r="J175" s="35" t="s">
        <v>109</v>
      </c>
      <c r="K175" s="35">
        <v>28.0</v>
      </c>
      <c r="L175" s="33" t="str">
        <f t="shared" si="1"/>
        <v>Alto</v>
      </c>
      <c r="M175" s="38" t="str">
        <f t="shared" si="2"/>
        <v>Aceito</v>
      </c>
      <c r="N175" s="38" t="str">
        <f t="shared" si="3"/>
        <v>Positiva</v>
      </c>
      <c r="O175" s="39">
        <v>80000.0</v>
      </c>
      <c r="P175" s="39">
        <f t="shared" si="4"/>
        <v>86400</v>
      </c>
      <c r="Q175" s="33">
        <f t="shared" si="5"/>
        <v>1</v>
      </c>
    </row>
    <row r="176">
      <c r="A176" s="26" t="s">
        <v>76</v>
      </c>
      <c r="B176" s="26" t="s">
        <v>689</v>
      </c>
      <c r="C176" s="27" t="s">
        <v>690</v>
      </c>
      <c r="D176" s="28">
        <v>56.0</v>
      </c>
      <c r="E176" s="29">
        <v>25925.0</v>
      </c>
      <c r="F176" s="26" t="s">
        <v>100</v>
      </c>
      <c r="G176" s="26" t="s">
        <v>88</v>
      </c>
      <c r="H176" s="30">
        <v>20200.0</v>
      </c>
      <c r="I176" s="30">
        <v>61000.0</v>
      </c>
      <c r="J176" s="28" t="s">
        <v>31</v>
      </c>
      <c r="K176" s="28">
        <v>10.0</v>
      </c>
      <c r="L176" s="26" t="str">
        <f t="shared" si="1"/>
        <v>Baixo</v>
      </c>
      <c r="M176" s="31" t="str">
        <f t="shared" si="2"/>
        <v>Aceito</v>
      </c>
      <c r="N176" s="31" t="str">
        <f t="shared" si="3"/>
        <v>Positiva</v>
      </c>
      <c r="O176" s="32">
        <v>6500.0</v>
      </c>
      <c r="P176" s="28">
        <f t="shared" si="4"/>
        <v>0</v>
      </c>
      <c r="Q176" s="26">
        <f t="shared" si="5"/>
        <v>1</v>
      </c>
    </row>
    <row r="177">
      <c r="A177" s="33" t="s">
        <v>71</v>
      </c>
      <c r="B177" s="33" t="s">
        <v>692</v>
      </c>
      <c r="C177" s="34" t="s">
        <v>693</v>
      </c>
      <c r="D177" s="35">
        <v>56.0</v>
      </c>
      <c r="E177" s="36">
        <v>25705.0</v>
      </c>
      <c r="F177" s="33" t="s">
        <v>316</v>
      </c>
      <c r="G177" s="33" t="s">
        <v>83</v>
      </c>
      <c r="H177" s="37">
        <v>11100.0</v>
      </c>
      <c r="I177" s="37">
        <v>13000.0</v>
      </c>
      <c r="J177" s="35" t="s">
        <v>31</v>
      </c>
      <c r="K177" s="35">
        <v>38.0</v>
      </c>
      <c r="L177" s="33" t="str">
        <f t="shared" si="1"/>
        <v>Alto</v>
      </c>
      <c r="M177" s="38" t="str">
        <f t="shared" si="2"/>
        <v>Aceito</v>
      </c>
      <c r="N177" s="38" t="str">
        <f t="shared" si="3"/>
        <v>Positiva</v>
      </c>
      <c r="O177" s="39">
        <v>88000.0</v>
      </c>
      <c r="P177" s="39">
        <f t="shared" si="4"/>
        <v>95040</v>
      </c>
      <c r="Q177" s="33">
        <f t="shared" si="5"/>
        <v>1</v>
      </c>
    </row>
    <row r="178">
      <c r="A178" s="26" t="s">
        <v>76</v>
      </c>
      <c r="B178" s="26" t="s">
        <v>697</v>
      </c>
      <c r="C178" s="27" t="s">
        <v>698</v>
      </c>
      <c r="D178" s="28">
        <v>63.0</v>
      </c>
      <c r="E178" s="29">
        <v>23337.0</v>
      </c>
      <c r="F178" s="26" t="s">
        <v>82</v>
      </c>
      <c r="G178" s="26" t="s">
        <v>83</v>
      </c>
      <c r="H178" s="30">
        <v>11900.0</v>
      </c>
      <c r="I178" s="30">
        <v>58.5</v>
      </c>
      <c r="J178" s="28" t="s">
        <v>31</v>
      </c>
      <c r="K178" s="28">
        <v>37.0</v>
      </c>
      <c r="L178" s="26" t="str">
        <f t="shared" si="1"/>
        <v>Alto</v>
      </c>
      <c r="M178" s="31" t="str">
        <f t="shared" si="2"/>
        <v>Aceito</v>
      </c>
      <c r="N178" s="31" t="str">
        <f t="shared" si="3"/>
        <v>Positiva</v>
      </c>
      <c r="O178" s="32">
        <v>48000.0</v>
      </c>
      <c r="P178" s="28">
        <f t="shared" si="4"/>
        <v>0</v>
      </c>
      <c r="Q178" s="26">
        <f t="shared" si="5"/>
        <v>1</v>
      </c>
    </row>
    <row r="179">
      <c r="A179" s="33" t="s">
        <v>71</v>
      </c>
      <c r="B179" s="33" t="s">
        <v>700</v>
      </c>
      <c r="C179" s="34" t="s">
        <v>701</v>
      </c>
      <c r="D179" s="35">
        <v>26.0</v>
      </c>
      <c r="E179" s="36">
        <v>36619.0</v>
      </c>
      <c r="F179" s="33" t="s">
        <v>253</v>
      </c>
      <c r="G179" s="33" t="s">
        <v>195</v>
      </c>
      <c r="H179" s="37">
        <v>26800.0</v>
      </c>
      <c r="I179" s="37">
        <v>42500.0</v>
      </c>
      <c r="J179" s="35" t="s">
        <v>32</v>
      </c>
      <c r="K179" s="35">
        <v>29.0</v>
      </c>
      <c r="L179" s="33" t="str">
        <f t="shared" si="1"/>
        <v>Alto</v>
      </c>
      <c r="M179" s="38" t="str">
        <f t="shared" si="2"/>
        <v>Negado</v>
      </c>
      <c r="N179" s="38" t="str">
        <f t="shared" si="3"/>
        <v>Positiva</v>
      </c>
      <c r="O179" s="39">
        <v>66000.0</v>
      </c>
      <c r="P179" s="39">
        <f t="shared" si="4"/>
        <v>71280</v>
      </c>
      <c r="Q179" s="33">
        <f t="shared" si="5"/>
        <v>1</v>
      </c>
    </row>
    <row r="180">
      <c r="A180" s="26" t="s">
        <v>71</v>
      </c>
      <c r="B180" s="26" t="s">
        <v>703</v>
      </c>
      <c r="C180" s="27" t="s">
        <v>704</v>
      </c>
      <c r="D180" s="28">
        <v>30.0</v>
      </c>
      <c r="E180" s="29">
        <v>35109.0</v>
      </c>
      <c r="F180" s="26" t="s">
        <v>78</v>
      </c>
      <c r="G180" s="26" t="s">
        <v>79</v>
      </c>
      <c r="H180" s="30">
        <v>2600.0</v>
      </c>
      <c r="I180" s="30">
        <v>62000.0</v>
      </c>
      <c r="J180" s="28" t="s">
        <v>31</v>
      </c>
      <c r="K180" s="28">
        <v>22.0</v>
      </c>
      <c r="L180" s="26" t="str">
        <f t="shared" si="1"/>
        <v>Médio</v>
      </c>
      <c r="M180" s="31" t="str">
        <f t="shared" si="2"/>
        <v>Aceito</v>
      </c>
      <c r="N180" s="31" t="str">
        <f t="shared" si="3"/>
        <v>Positiva</v>
      </c>
      <c r="O180" s="32">
        <v>62000.0</v>
      </c>
      <c r="P180" s="32">
        <f t="shared" si="4"/>
        <v>66960</v>
      </c>
      <c r="Q180" s="26">
        <f t="shared" si="5"/>
        <v>1</v>
      </c>
    </row>
    <row r="181">
      <c r="A181" s="33" t="s">
        <v>71</v>
      </c>
      <c r="B181" s="33" t="s">
        <v>706</v>
      </c>
      <c r="C181" s="34" t="s">
        <v>707</v>
      </c>
      <c r="D181" s="35">
        <v>74.0</v>
      </c>
      <c r="E181" s="36">
        <v>19168.0</v>
      </c>
      <c r="F181" s="33" t="s">
        <v>100</v>
      </c>
      <c r="G181" s="33" t="s">
        <v>88</v>
      </c>
      <c r="H181" s="37">
        <v>25000.0</v>
      </c>
      <c r="I181" s="37">
        <v>0.0</v>
      </c>
      <c r="J181" s="35" t="s">
        <v>31</v>
      </c>
      <c r="K181" s="35">
        <v>3.0</v>
      </c>
      <c r="L181" s="33" t="str">
        <f t="shared" si="1"/>
        <v>Baixo</v>
      </c>
      <c r="M181" s="38" t="str">
        <f t="shared" si="2"/>
        <v>Aceito</v>
      </c>
      <c r="N181" s="38" t="str">
        <f t="shared" si="3"/>
        <v>Positiva</v>
      </c>
      <c r="O181" s="39">
        <v>2500.0</v>
      </c>
      <c r="P181" s="39">
        <f t="shared" si="4"/>
        <v>2700</v>
      </c>
      <c r="Q181" s="33">
        <f t="shared" si="5"/>
        <v>1</v>
      </c>
    </row>
    <row r="182">
      <c r="A182" s="26" t="s">
        <v>71</v>
      </c>
      <c r="B182" s="26" t="s">
        <v>1007</v>
      </c>
      <c r="C182" s="27" t="s">
        <v>710</v>
      </c>
      <c r="D182" s="28">
        <v>66.0</v>
      </c>
      <c r="E182" s="29">
        <v>22205.0</v>
      </c>
      <c r="F182" s="26" t="s">
        <v>203</v>
      </c>
      <c r="G182" s="26" t="s">
        <v>205</v>
      </c>
      <c r="H182" s="30">
        <v>19800.0</v>
      </c>
      <c r="I182" s="30">
        <v>78.5</v>
      </c>
      <c r="J182" s="28" t="s">
        <v>31</v>
      </c>
      <c r="K182" s="28">
        <v>34.0</v>
      </c>
      <c r="L182" s="26" t="str">
        <f t="shared" si="1"/>
        <v>Alto</v>
      </c>
      <c r="M182" s="31" t="str">
        <f t="shared" si="2"/>
        <v>Aceito</v>
      </c>
      <c r="N182" s="31" t="str">
        <f t="shared" si="3"/>
        <v>Positiva</v>
      </c>
      <c r="O182" s="32">
        <v>23000.0</v>
      </c>
      <c r="P182" s="32">
        <f t="shared" si="4"/>
        <v>24840</v>
      </c>
      <c r="Q182" s="26">
        <f t="shared" si="5"/>
        <v>1</v>
      </c>
    </row>
    <row r="183">
      <c r="A183" s="33" t="s">
        <v>76</v>
      </c>
      <c r="B183" s="33" t="s">
        <v>711</v>
      </c>
      <c r="C183" s="34" t="s">
        <v>712</v>
      </c>
      <c r="D183" s="35">
        <v>59.0</v>
      </c>
      <c r="E183" s="36">
        <v>24785.0</v>
      </c>
      <c r="F183" s="33" t="s">
        <v>115</v>
      </c>
      <c r="G183" s="33" t="s">
        <v>117</v>
      </c>
      <c r="H183" s="37">
        <v>20100.0</v>
      </c>
      <c r="I183" s="37">
        <v>40000.0</v>
      </c>
      <c r="J183" s="35" t="s">
        <v>31</v>
      </c>
      <c r="K183" s="35">
        <v>16.0</v>
      </c>
      <c r="L183" s="33" t="str">
        <f t="shared" si="1"/>
        <v>Médio</v>
      </c>
      <c r="M183" s="38" t="str">
        <f t="shared" si="2"/>
        <v>Aceito</v>
      </c>
      <c r="N183" s="38" t="str">
        <f t="shared" si="3"/>
        <v>Positiva</v>
      </c>
      <c r="O183" s="39">
        <v>98500.0</v>
      </c>
      <c r="P183" s="35">
        <f t="shared" si="4"/>
        <v>0</v>
      </c>
      <c r="Q183" s="33">
        <f t="shared" si="5"/>
        <v>1</v>
      </c>
    </row>
    <row r="184">
      <c r="A184" s="26" t="s">
        <v>71</v>
      </c>
      <c r="B184" s="26" t="s">
        <v>714</v>
      </c>
      <c r="C184" s="27" t="s">
        <v>716</v>
      </c>
      <c r="D184" s="28">
        <v>45.0</v>
      </c>
      <c r="E184" s="29">
        <v>29769.0</v>
      </c>
      <c r="F184" s="26" t="s">
        <v>78</v>
      </c>
      <c r="G184" s="26" t="s">
        <v>79</v>
      </c>
      <c r="H184" s="30">
        <v>24400.0</v>
      </c>
      <c r="I184" s="30">
        <v>7500.0</v>
      </c>
      <c r="J184" s="28" t="s">
        <v>31</v>
      </c>
      <c r="K184" s="28">
        <v>13.0</v>
      </c>
      <c r="L184" s="26" t="str">
        <f t="shared" si="1"/>
        <v>Médio</v>
      </c>
      <c r="M184" s="31" t="str">
        <f t="shared" si="2"/>
        <v>Aceito</v>
      </c>
      <c r="N184" s="31" t="str">
        <f t="shared" si="3"/>
        <v>Positiva</v>
      </c>
      <c r="O184" s="32">
        <v>95000.0</v>
      </c>
      <c r="P184" s="32">
        <f t="shared" si="4"/>
        <v>102600</v>
      </c>
      <c r="Q184" s="26">
        <f t="shared" si="5"/>
        <v>1</v>
      </c>
    </row>
    <row r="185">
      <c r="A185" s="33" t="s">
        <v>71</v>
      </c>
      <c r="B185" s="33" t="s">
        <v>718</v>
      </c>
      <c r="C185" s="34">
        <v>34800.0</v>
      </c>
      <c r="D185" s="35">
        <v>26.0</v>
      </c>
      <c r="E185" s="36">
        <v>36596.0</v>
      </c>
      <c r="F185" s="33" t="s">
        <v>234</v>
      </c>
      <c r="G185" s="33" t="s">
        <v>205</v>
      </c>
      <c r="H185" s="37">
        <v>3500.0</v>
      </c>
      <c r="I185" s="37">
        <v>50000.0</v>
      </c>
      <c r="J185" s="35" t="s">
        <v>109</v>
      </c>
      <c r="K185" s="35">
        <v>40.0</v>
      </c>
      <c r="L185" s="33" t="str">
        <f t="shared" si="1"/>
        <v>Alto</v>
      </c>
      <c r="M185" s="38" t="str">
        <f t="shared" si="2"/>
        <v>Aceito</v>
      </c>
      <c r="N185" s="38" t="str">
        <f t="shared" si="3"/>
        <v>Positiva</v>
      </c>
      <c r="O185" s="39">
        <v>46500.0</v>
      </c>
      <c r="P185" s="39">
        <f t="shared" si="4"/>
        <v>50220</v>
      </c>
      <c r="Q185" s="33">
        <f t="shared" si="5"/>
        <v>1</v>
      </c>
    </row>
    <row r="186">
      <c r="A186" s="26" t="s">
        <v>71</v>
      </c>
      <c r="B186" s="26" t="s">
        <v>719</v>
      </c>
      <c r="C186" s="27" t="s">
        <v>720</v>
      </c>
      <c r="D186" s="28">
        <v>42.0</v>
      </c>
      <c r="E186" s="29">
        <v>30898.0</v>
      </c>
      <c r="F186" s="26" t="s">
        <v>93</v>
      </c>
      <c r="G186" s="26" t="s">
        <v>94</v>
      </c>
      <c r="H186" s="30">
        <v>20800.0</v>
      </c>
      <c r="I186" s="30">
        <v>54000.0</v>
      </c>
      <c r="J186" s="28" t="s">
        <v>31</v>
      </c>
      <c r="K186" s="28">
        <v>4.0</v>
      </c>
      <c r="L186" s="26" t="str">
        <f t="shared" si="1"/>
        <v>Baixo</v>
      </c>
      <c r="M186" s="31" t="str">
        <f t="shared" si="2"/>
        <v>Aceito</v>
      </c>
      <c r="N186" s="31" t="str">
        <f t="shared" si="3"/>
        <v>Positiva</v>
      </c>
      <c r="O186" s="32">
        <v>73500.0</v>
      </c>
      <c r="P186" s="32">
        <f t="shared" si="4"/>
        <v>79380</v>
      </c>
      <c r="Q186" s="26">
        <f t="shared" si="5"/>
        <v>1</v>
      </c>
    </row>
    <row r="187">
      <c r="A187" s="33" t="s">
        <v>71</v>
      </c>
      <c r="B187" s="33" t="s">
        <v>721</v>
      </c>
      <c r="C187" s="34" t="s">
        <v>722</v>
      </c>
      <c r="D187" s="35">
        <v>66.0</v>
      </c>
      <c r="E187" s="36">
        <v>22130.0</v>
      </c>
      <c r="F187" s="33" t="s">
        <v>316</v>
      </c>
      <c r="G187" s="33" t="s">
        <v>83</v>
      </c>
      <c r="H187" s="37">
        <v>3400.0</v>
      </c>
      <c r="I187" s="37">
        <v>78000.0</v>
      </c>
      <c r="J187" s="35" t="s">
        <v>31</v>
      </c>
      <c r="K187" s="35">
        <v>9.0</v>
      </c>
      <c r="L187" s="33" t="str">
        <f t="shared" si="1"/>
        <v>Baixo</v>
      </c>
      <c r="M187" s="38" t="str">
        <f t="shared" si="2"/>
        <v>Aceito</v>
      </c>
      <c r="N187" s="38" t="str">
        <f t="shared" si="3"/>
        <v>Positiva</v>
      </c>
      <c r="O187" s="39">
        <v>51500.0</v>
      </c>
      <c r="P187" s="39">
        <f t="shared" si="4"/>
        <v>55620</v>
      </c>
      <c r="Q187" s="33">
        <f t="shared" si="5"/>
        <v>1</v>
      </c>
    </row>
    <row r="188">
      <c r="A188" s="26" t="s">
        <v>71</v>
      </c>
      <c r="B188" s="26" t="s">
        <v>723</v>
      </c>
      <c r="C188" s="27" t="s">
        <v>724</v>
      </c>
      <c r="D188" s="28">
        <v>50.0</v>
      </c>
      <c r="E188" s="29">
        <v>28049.0</v>
      </c>
      <c r="F188" s="26" t="s">
        <v>203</v>
      </c>
      <c r="G188" s="26" t="s">
        <v>205</v>
      </c>
      <c r="H188" s="30">
        <v>25200.0</v>
      </c>
      <c r="I188" s="30">
        <v>59500.0</v>
      </c>
      <c r="J188" s="28" t="s">
        <v>31</v>
      </c>
      <c r="K188" s="28">
        <v>37.0</v>
      </c>
      <c r="L188" s="26" t="str">
        <f t="shared" si="1"/>
        <v>Alto</v>
      </c>
      <c r="M188" s="31" t="str">
        <f t="shared" si="2"/>
        <v>Aceito</v>
      </c>
      <c r="N188" s="31" t="str">
        <f t="shared" si="3"/>
        <v>Positiva</v>
      </c>
      <c r="O188" s="32">
        <v>86500.0</v>
      </c>
      <c r="P188" s="32">
        <f t="shared" si="4"/>
        <v>93420</v>
      </c>
      <c r="Q188" s="26">
        <f t="shared" si="5"/>
        <v>1</v>
      </c>
    </row>
    <row r="189">
      <c r="A189" s="33" t="s">
        <v>71</v>
      </c>
      <c r="B189" s="33" t="s">
        <v>726</v>
      </c>
      <c r="C189" s="34" t="s">
        <v>727</v>
      </c>
      <c r="D189" s="35">
        <v>61.0</v>
      </c>
      <c r="E189" s="36">
        <v>23903.0</v>
      </c>
      <c r="F189" s="33" t="s">
        <v>255</v>
      </c>
      <c r="G189" s="33" t="s">
        <v>205</v>
      </c>
      <c r="H189" s="37">
        <v>22900.0</v>
      </c>
      <c r="I189" s="37">
        <v>4500.0</v>
      </c>
      <c r="J189" s="35" t="s">
        <v>32</v>
      </c>
      <c r="K189" s="35">
        <v>29.0</v>
      </c>
      <c r="L189" s="33" t="str">
        <f t="shared" si="1"/>
        <v>Alto</v>
      </c>
      <c r="M189" s="38" t="str">
        <f t="shared" si="2"/>
        <v>Negado</v>
      </c>
      <c r="N189" s="38" t="str">
        <f t="shared" si="3"/>
        <v>Positiva</v>
      </c>
      <c r="O189" s="39">
        <v>43500.0</v>
      </c>
      <c r="P189" s="39">
        <f t="shared" si="4"/>
        <v>46980</v>
      </c>
      <c r="Q189" s="33">
        <f t="shared" si="5"/>
        <v>1</v>
      </c>
    </row>
    <row r="190">
      <c r="A190" s="26" t="s">
        <v>71</v>
      </c>
      <c r="B190" s="26" t="s">
        <v>729</v>
      </c>
      <c r="C190" s="27">
        <v>17500.0</v>
      </c>
      <c r="D190" s="28">
        <v>61.0</v>
      </c>
      <c r="E190" s="29">
        <v>24091.0</v>
      </c>
      <c r="F190" s="26" t="s">
        <v>93</v>
      </c>
      <c r="G190" s="26" t="s">
        <v>94</v>
      </c>
      <c r="H190" s="30">
        <v>10100.0</v>
      </c>
      <c r="I190" s="30">
        <v>55000.0</v>
      </c>
      <c r="J190" s="28" t="s">
        <v>31</v>
      </c>
      <c r="K190" s="28">
        <v>26.0</v>
      </c>
      <c r="L190" s="26" t="str">
        <f t="shared" si="1"/>
        <v>Alto</v>
      </c>
      <c r="M190" s="31" t="str">
        <f t="shared" si="2"/>
        <v>Aceito</v>
      </c>
      <c r="N190" s="31" t="str">
        <f t="shared" si="3"/>
        <v>Positiva</v>
      </c>
      <c r="O190" s="32">
        <v>54000.0</v>
      </c>
      <c r="P190" s="32">
        <f t="shared" si="4"/>
        <v>58320</v>
      </c>
      <c r="Q190" s="26">
        <f t="shared" si="5"/>
        <v>1</v>
      </c>
    </row>
    <row r="191">
      <c r="A191" s="33" t="s">
        <v>340</v>
      </c>
      <c r="B191" s="33" t="s">
        <v>732</v>
      </c>
      <c r="C191" s="34">
        <v>16300.0</v>
      </c>
      <c r="D191" s="35">
        <v>27.0</v>
      </c>
      <c r="E191" s="36">
        <v>36284.0</v>
      </c>
      <c r="F191" s="33" t="s">
        <v>203</v>
      </c>
      <c r="G191" s="33" t="s">
        <v>205</v>
      </c>
      <c r="H191" s="37">
        <v>14000.0</v>
      </c>
      <c r="I191" s="37">
        <v>63500.0</v>
      </c>
      <c r="J191" s="35" t="s">
        <v>31</v>
      </c>
      <c r="K191" s="35">
        <v>24.0</v>
      </c>
      <c r="L191" s="33" t="str">
        <f t="shared" si="1"/>
        <v>Médio</v>
      </c>
      <c r="M191" s="38" t="str">
        <f t="shared" si="2"/>
        <v>Aceito</v>
      </c>
      <c r="N191" s="38" t="str">
        <f t="shared" si="3"/>
        <v>Positiva</v>
      </c>
      <c r="O191" s="39">
        <v>87000.0</v>
      </c>
      <c r="P191" s="35">
        <f t="shared" si="4"/>
        <v>0</v>
      </c>
      <c r="Q191" s="33">
        <f t="shared" si="5"/>
        <v>1</v>
      </c>
    </row>
    <row r="192">
      <c r="A192" s="26" t="s">
        <v>71</v>
      </c>
      <c r="B192" s="26" t="s">
        <v>734</v>
      </c>
      <c r="C192" s="27" t="s">
        <v>735</v>
      </c>
      <c r="D192" s="28">
        <v>53.0</v>
      </c>
      <c r="E192" s="29">
        <v>26898.0</v>
      </c>
      <c r="F192" s="26" t="s">
        <v>246</v>
      </c>
      <c r="G192" s="26" t="s">
        <v>205</v>
      </c>
      <c r="H192" s="30">
        <v>27100.0</v>
      </c>
      <c r="I192" s="30">
        <v>68000.0</v>
      </c>
      <c r="J192" s="28" t="s">
        <v>31</v>
      </c>
      <c r="K192" s="28">
        <v>40.0</v>
      </c>
      <c r="L192" s="26" t="str">
        <f t="shared" si="1"/>
        <v>Alto</v>
      </c>
      <c r="M192" s="31" t="str">
        <f t="shared" si="2"/>
        <v>Aceito</v>
      </c>
      <c r="N192" s="31" t="str">
        <f t="shared" si="3"/>
        <v>Positiva</v>
      </c>
      <c r="O192" s="32">
        <v>49500.0</v>
      </c>
      <c r="P192" s="32">
        <f t="shared" si="4"/>
        <v>53460</v>
      </c>
      <c r="Q192" s="26">
        <f t="shared" si="5"/>
        <v>1</v>
      </c>
    </row>
    <row r="193">
      <c r="A193" s="33" t="s">
        <v>76</v>
      </c>
      <c r="B193" s="33" t="s">
        <v>737</v>
      </c>
      <c r="C193" s="34" t="s">
        <v>738</v>
      </c>
      <c r="D193" s="35">
        <v>38.0</v>
      </c>
      <c r="E193" s="36">
        <v>32414.0</v>
      </c>
      <c r="F193" s="33" t="s">
        <v>1040</v>
      </c>
      <c r="G193" s="33" t="s">
        <v>340</v>
      </c>
      <c r="H193" s="37">
        <v>12800.0</v>
      </c>
      <c r="I193" s="37">
        <v>76500.0</v>
      </c>
      <c r="J193" s="35" t="s">
        <v>31</v>
      </c>
      <c r="K193" s="35">
        <v>30.0</v>
      </c>
      <c r="L193" s="33" t="str">
        <f t="shared" si="1"/>
        <v>Alto</v>
      </c>
      <c r="M193" s="38" t="str">
        <f t="shared" si="2"/>
        <v>Aceito</v>
      </c>
      <c r="N193" s="38" t="str">
        <f t="shared" si="3"/>
        <v>Positiva</v>
      </c>
      <c r="O193" s="39">
        <v>18500.0</v>
      </c>
      <c r="P193" s="35">
        <f t="shared" si="4"/>
        <v>0</v>
      </c>
      <c r="Q193" s="33">
        <f t="shared" si="5"/>
        <v>1</v>
      </c>
    </row>
    <row r="194">
      <c r="A194" s="26" t="s">
        <v>71</v>
      </c>
      <c r="B194" s="26" t="s">
        <v>740</v>
      </c>
      <c r="C194" s="27">
        <v>35000.0</v>
      </c>
      <c r="D194" s="28">
        <v>19.0</v>
      </c>
      <c r="E194" s="29">
        <v>39342.0</v>
      </c>
      <c r="F194" s="26" t="s">
        <v>221</v>
      </c>
      <c r="G194" s="26" t="s">
        <v>222</v>
      </c>
      <c r="H194" s="30">
        <v>28900.0</v>
      </c>
      <c r="I194" s="30">
        <v>22000.0</v>
      </c>
      <c r="J194" s="28" t="s">
        <v>31</v>
      </c>
      <c r="K194" s="28">
        <v>23.0</v>
      </c>
      <c r="L194" s="26" t="str">
        <f t="shared" si="1"/>
        <v>Médio</v>
      </c>
      <c r="M194" s="31" t="str">
        <f t="shared" si="2"/>
        <v>Aceito</v>
      </c>
      <c r="N194" s="31" t="str">
        <f t="shared" si="3"/>
        <v>Positiva</v>
      </c>
      <c r="O194" s="32">
        <v>90000.0</v>
      </c>
      <c r="P194" s="32">
        <f t="shared" si="4"/>
        <v>97200</v>
      </c>
      <c r="Q194" s="26">
        <f t="shared" si="5"/>
        <v>1</v>
      </c>
    </row>
    <row r="195">
      <c r="A195" s="33" t="s">
        <v>71</v>
      </c>
      <c r="B195" s="33" t="s">
        <v>413</v>
      </c>
      <c r="C195" s="34" t="s">
        <v>414</v>
      </c>
      <c r="D195" s="35">
        <v>27.0</v>
      </c>
      <c r="E195" s="36">
        <v>36308.0</v>
      </c>
      <c r="F195" s="33" t="s">
        <v>193</v>
      </c>
      <c r="G195" s="33" t="s">
        <v>195</v>
      </c>
      <c r="H195" s="37">
        <v>5300.0</v>
      </c>
      <c r="I195" s="37">
        <v>22000.0</v>
      </c>
      <c r="J195" s="35" t="s">
        <v>31</v>
      </c>
      <c r="K195" s="35">
        <v>11.0</v>
      </c>
      <c r="L195" s="33" t="str">
        <f t="shared" si="1"/>
        <v>Médio</v>
      </c>
      <c r="M195" s="38" t="str">
        <f t="shared" si="2"/>
        <v>Aceito</v>
      </c>
      <c r="N195" s="38" t="str">
        <f t="shared" si="3"/>
        <v>Positiva</v>
      </c>
      <c r="O195" s="39">
        <v>4500.0</v>
      </c>
      <c r="P195" s="39">
        <f t="shared" si="4"/>
        <v>4860</v>
      </c>
      <c r="Q195" s="33">
        <f t="shared" si="5"/>
        <v>1</v>
      </c>
    </row>
    <row r="196">
      <c r="A196" s="26" t="s">
        <v>71</v>
      </c>
      <c r="B196" s="26" t="s">
        <v>975</v>
      </c>
      <c r="C196" s="27" t="s">
        <v>743</v>
      </c>
      <c r="D196" s="28">
        <v>26.0</v>
      </c>
      <c r="E196" s="29">
        <v>36824.0</v>
      </c>
      <c r="F196" s="26" t="s">
        <v>203</v>
      </c>
      <c r="G196" s="26" t="s">
        <v>205</v>
      </c>
      <c r="H196" s="30">
        <v>18300.0</v>
      </c>
      <c r="I196" s="30">
        <v>41000.0</v>
      </c>
      <c r="J196" s="28" t="s">
        <v>31</v>
      </c>
      <c r="K196" s="28">
        <v>9.0</v>
      </c>
      <c r="L196" s="26" t="str">
        <f t="shared" si="1"/>
        <v>Baixo</v>
      </c>
      <c r="M196" s="31" t="str">
        <f t="shared" si="2"/>
        <v>Aceito</v>
      </c>
      <c r="N196" s="31" t="str">
        <f t="shared" si="3"/>
        <v>Positiva</v>
      </c>
      <c r="O196" s="32">
        <v>32500.0</v>
      </c>
      <c r="P196" s="32">
        <f t="shared" si="4"/>
        <v>35100</v>
      </c>
      <c r="Q196" s="26">
        <f t="shared" si="5"/>
        <v>1</v>
      </c>
    </row>
    <row r="197">
      <c r="A197" s="33" t="s">
        <v>71</v>
      </c>
      <c r="B197" s="33" t="s">
        <v>744</v>
      </c>
      <c r="C197" s="34" t="s">
        <v>745</v>
      </c>
      <c r="D197" s="35">
        <v>55.0</v>
      </c>
      <c r="E197" s="36">
        <v>26103.0</v>
      </c>
      <c r="F197" s="33" t="s">
        <v>78</v>
      </c>
      <c r="G197" s="33" t="s">
        <v>79</v>
      </c>
      <c r="H197" s="37">
        <v>9600.0</v>
      </c>
      <c r="I197" s="37">
        <v>43000.0</v>
      </c>
      <c r="J197" s="35" t="s">
        <v>31</v>
      </c>
      <c r="K197" s="35">
        <v>36.0</v>
      </c>
      <c r="L197" s="33" t="str">
        <f t="shared" si="1"/>
        <v>Alto</v>
      </c>
      <c r="M197" s="38" t="str">
        <f t="shared" si="2"/>
        <v>Aceito</v>
      </c>
      <c r="N197" s="38" t="str">
        <f t="shared" si="3"/>
        <v>Positiva</v>
      </c>
      <c r="O197" s="39">
        <v>67500.0</v>
      </c>
      <c r="P197" s="39">
        <f t="shared" si="4"/>
        <v>72900</v>
      </c>
      <c r="Q197" s="33">
        <f t="shared" si="5"/>
        <v>1</v>
      </c>
    </row>
    <row r="198">
      <c r="A198" s="26" t="s">
        <v>71</v>
      </c>
      <c r="B198" s="26" t="s">
        <v>1053</v>
      </c>
      <c r="C198" s="27" t="s">
        <v>747</v>
      </c>
      <c r="D198" s="28">
        <v>24.0</v>
      </c>
      <c r="E198" s="29">
        <v>37530.0</v>
      </c>
      <c r="F198" s="26" t="s">
        <v>87</v>
      </c>
      <c r="G198" s="26" t="s">
        <v>88</v>
      </c>
      <c r="H198" s="30">
        <v>10700.0</v>
      </c>
      <c r="I198" s="30">
        <v>15000.0</v>
      </c>
      <c r="J198" s="28" t="s">
        <v>31</v>
      </c>
      <c r="K198" s="28">
        <v>42.0</v>
      </c>
      <c r="L198" s="26" t="str">
        <f t="shared" si="1"/>
        <v>Alto</v>
      </c>
      <c r="M198" s="31" t="str">
        <f t="shared" si="2"/>
        <v>Aceito</v>
      </c>
      <c r="N198" s="31" t="str">
        <f t="shared" si="3"/>
        <v>Positiva</v>
      </c>
      <c r="O198" s="32">
        <v>81500.0</v>
      </c>
      <c r="P198" s="32">
        <f t="shared" si="4"/>
        <v>88020</v>
      </c>
      <c r="Q198" s="26">
        <f t="shared" si="5"/>
        <v>1</v>
      </c>
    </row>
    <row r="199">
      <c r="A199" s="33" t="s">
        <v>76</v>
      </c>
      <c r="B199" s="33" t="s">
        <v>748</v>
      </c>
      <c r="C199" s="34" t="s">
        <v>749</v>
      </c>
      <c r="D199" s="35">
        <v>58.0</v>
      </c>
      <c r="E199" s="36">
        <v>24872.0</v>
      </c>
      <c r="F199" s="33" t="s">
        <v>100</v>
      </c>
      <c r="G199" s="33" t="s">
        <v>88</v>
      </c>
      <c r="H199" s="37">
        <v>12500.0</v>
      </c>
      <c r="I199" s="37">
        <v>44.5</v>
      </c>
      <c r="J199" s="35" t="s">
        <v>31</v>
      </c>
      <c r="K199" s="35">
        <v>13.0</v>
      </c>
      <c r="L199" s="33" t="str">
        <f t="shared" si="1"/>
        <v>Médio</v>
      </c>
      <c r="M199" s="38" t="str">
        <f t="shared" si="2"/>
        <v>Aceito</v>
      </c>
      <c r="N199" s="38" t="str">
        <f t="shared" si="3"/>
        <v>Positiva</v>
      </c>
      <c r="O199" s="39">
        <v>16000.0</v>
      </c>
      <c r="P199" s="35">
        <f t="shared" si="4"/>
        <v>0</v>
      </c>
      <c r="Q199" s="33">
        <f t="shared" si="5"/>
        <v>1</v>
      </c>
    </row>
    <row r="200">
      <c r="A200" s="26" t="s">
        <v>71</v>
      </c>
      <c r="B200" s="26" t="s">
        <v>751</v>
      </c>
      <c r="C200" s="27"/>
      <c r="D200" s="28">
        <v>127.0</v>
      </c>
      <c r="E200" s="29">
        <v>0.0</v>
      </c>
      <c r="F200" s="26" t="s">
        <v>82</v>
      </c>
      <c r="G200" s="26" t="s">
        <v>83</v>
      </c>
      <c r="H200" s="30">
        <v>17000.0</v>
      </c>
      <c r="I200" s="30">
        <v>41000.0</v>
      </c>
      <c r="J200" s="28" t="s">
        <v>31</v>
      </c>
      <c r="K200" s="28">
        <v>37.0</v>
      </c>
      <c r="L200" s="26" t="str">
        <f t="shared" si="1"/>
        <v>Alto</v>
      </c>
      <c r="M200" s="31" t="str">
        <f t="shared" si="2"/>
        <v>Aceito</v>
      </c>
      <c r="N200" s="31" t="str">
        <f t="shared" si="3"/>
        <v>Positiva</v>
      </c>
      <c r="O200" s="32">
        <v>33000.0</v>
      </c>
      <c r="P200" s="32">
        <f t="shared" si="4"/>
        <v>35640</v>
      </c>
      <c r="Q200" s="26">
        <f t="shared" si="5"/>
        <v>1</v>
      </c>
    </row>
    <row r="201">
      <c r="A201" s="33" t="s">
        <v>76</v>
      </c>
      <c r="B201" s="33" t="s">
        <v>752</v>
      </c>
      <c r="C201" s="34">
        <v>7700.0</v>
      </c>
      <c r="D201" s="35">
        <v>41.0</v>
      </c>
      <c r="E201" s="36">
        <v>31337.0</v>
      </c>
      <c r="F201" s="33" t="s">
        <v>253</v>
      </c>
      <c r="G201" s="33" t="s">
        <v>195</v>
      </c>
      <c r="H201" s="37">
        <v>14000.0</v>
      </c>
      <c r="I201" s="37">
        <v>0.0</v>
      </c>
      <c r="J201" s="35" t="s">
        <v>31</v>
      </c>
      <c r="K201" s="35">
        <v>24.0</v>
      </c>
      <c r="L201" s="33" t="str">
        <f t="shared" si="1"/>
        <v>Médio</v>
      </c>
      <c r="M201" s="38" t="str">
        <f t="shared" si="2"/>
        <v>Aceito</v>
      </c>
      <c r="N201" s="38" t="str">
        <f t="shared" si="3"/>
        <v>Positiva</v>
      </c>
      <c r="O201" s="39">
        <v>82000.0</v>
      </c>
      <c r="P201" s="35">
        <f t="shared" si="4"/>
        <v>0</v>
      </c>
      <c r="Q201" s="33">
        <f t="shared" si="5"/>
        <v>1</v>
      </c>
    </row>
    <row r="202">
      <c r="A202" s="26" t="s">
        <v>71</v>
      </c>
      <c r="B202" s="26" t="s">
        <v>163</v>
      </c>
      <c r="C202" s="27" t="s">
        <v>754</v>
      </c>
      <c r="D202" s="28">
        <v>59.0</v>
      </c>
      <c r="E202" s="29">
        <v>24710.0</v>
      </c>
      <c r="F202" s="26" t="s">
        <v>1072</v>
      </c>
      <c r="G202" s="26" t="s">
        <v>340</v>
      </c>
      <c r="H202" s="30">
        <v>19900.0</v>
      </c>
      <c r="I202" s="30">
        <v>55.0</v>
      </c>
      <c r="J202" s="28" t="s">
        <v>31</v>
      </c>
      <c r="K202" s="28">
        <v>26.0</v>
      </c>
      <c r="L202" s="26" t="str">
        <f t="shared" si="1"/>
        <v>Alto</v>
      </c>
      <c r="M202" s="31" t="str">
        <f t="shared" si="2"/>
        <v>Aceito</v>
      </c>
      <c r="N202" s="31" t="str">
        <f t="shared" si="3"/>
        <v>Positiva</v>
      </c>
      <c r="O202" s="32">
        <v>100000.0</v>
      </c>
      <c r="P202" s="32">
        <f t="shared" si="4"/>
        <v>108000</v>
      </c>
      <c r="Q202" s="26">
        <f t="shared" si="5"/>
        <v>1</v>
      </c>
    </row>
    <row r="203">
      <c r="A203" s="33" t="s">
        <v>71</v>
      </c>
      <c r="B203" s="33" t="s">
        <v>1077</v>
      </c>
      <c r="C203" s="34" t="s">
        <v>758</v>
      </c>
      <c r="D203" s="35">
        <v>74.0</v>
      </c>
      <c r="E203" s="36">
        <v>19073.0</v>
      </c>
      <c r="F203" s="33" t="s">
        <v>93</v>
      </c>
      <c r="G203" s="33" t="s">
        <v>94</v>
      </c>
      <c r="H203" s="37">
        <v>7100.0</v>
      </c>
      <c r="I203" s="37">
        <v>61500.0</v>
      </c>
      <c r="J203" s="35" t="s">
        <v>31</v>
      </c>
      <c r="K203" s="35">
        <v>1.0</v>
      </c>
      <c r="L203" s="33" t="str">
        <f t="shared" si="1"/>
        <v>Baixo</v>
      </c>
      <c r="M203" s="38" t="str">
        <f t="shared" si="2"/>
        <v>Aceito</v>
      </c>
      <c r="N203" s="38" t="str">
        <f t="shared" si="3"/>
        <v>Positiva</v>
      </c>
      <c r="O203" s="39">
        <v>50500.0</v>
      </c>
      <c r="P203" s="39">
        <f t="shared" si="4"/>
        <v>54540</v>
      </c>
      <c r="Q203" s="33">
        <f t="shared" si="5"/>
        <v>1</v>
      </c>
    </row>
    <row r="204">
      <c r="A204" s="26" t="s">
        <v>71</v>
      </c>
      <c r="B204" s="26" t="s">
        <v>759</v>
      </c>
      <c r="C204" s="27" t="s">
        <v>760</v>
      </c>
      <c r="D204" s="28">
        <v>64.0</v>
      </c>
      <c r="E204" s="29">
        <v>22886.0</v>
      </c>
      <c r="F204" s="26" t="s">
        <v>100</v>
      </c>
      <c r="G204" s="26" t="s">
        <v>88</v>
      </c>
      <c r="H204" s="30">
        <v>8800.0</v>
      </c>
      <c r="I204" s="30">
        <v>66000.0</v>
      </c>
      <c r="J204" s="28" t="s">
        <v>31</v>
      </c>
      <c r="K204" s="28">
        <v>28.0</v>
      </c>
      <c r="L204" s="26" t="str">
        <f t="shared" si="1"/>
        <v>Alto</v>
      </c>
      <c r="M204" s="31" t="str">
        <f t="shared" si="2"/>
        <v>Aceito</v>
      </c>
      <c r="N204" s="31" t="str">
        <f t="shared" si="3"/>
        <v>Positiva</v>
      </c>
      <c r="O204" s="32">
        <v>5000.0</v>
      </c>
      <c r="P204" s="32">
        <f t="shared" si="4"/>
        <v>5400</v>
      </c>
      <c r="Q204" s="26">
        <f t="shared" si="5"/>
        <v>1</v>
      </c>
    </row>
    <row r="205">
      <c r="A205" s="33" t="s">
        <v>71</v>
      </c>
      <c r="B205" s="33" t="s">
        <v>748</v>
      </c>
      <c r="C205" s="34" t="s">
        <v>749</v>
      </c>
      <c r="D205" s="35">
        <v>58.0</v>
      </c>
      <c r="E205" s="36">
        <v>24872.0</v>
      </c>
      <c r="F205" s="33" t="s">
        <v>100</v>
      </c>
      <c r="G205" s="33" t="s">
        <v>88</v>
      </c>
      <c r="H205" s="37">
        <v>12500.0</v>
      </c>
      <c r="I205" s="37">
        <v>44.5</v>
      </c>
      <c r="J205" s="35" t="s">
        <v>31</v>
      </c>
      <c r="K205" s="35">
        <v>13.0</v>
      </c>
      <c r="L205" s="33" t="str">
        <f t="shared" si="1"/>
        <v>Médio</v>
      </c>
      <c r="M205" s="38" t="str">
        <f t="shared" si="2"/>
        <v>Aceito</v>
      </c>
      <c r="N205" s="38" t="str">
        <f t="shared" si="3"/>
        <v>Positiva</v>
      </c>
      <c r="O205" s="39">
        <v>98500.0</v>
      </c>
      <c r="P205" s="39">
        <f t="shared" si="4"/>
        <v>106380</v>
      </c>
      <c r="Q205" s="33">
        <f t="shared" si="5"/>
        <v>1</v>
      </c>
    </row>
    <row r="206">
      <c r="A206" s="26" t="s">
        <v>76</v>
      </c>
      <c r="B206" s="26" t="s">
        <v>763</v>
      </c>
      <c r="C206" s="27">
        <v>23300.0</v>
      </c>
      <c r="D206" s="28">
        <v>39.0</v>
      </c>
      <c r="E206" s="29">
        <v>32066.0</v>
      </c>
      <c r="F206" s="26" t="s">
        <v>115</v>
      </c>
      <c r="G206" s="26" t="s">
        <v>117</v>
      </c>
      <c r="H206" s="30">
        <v>9700.0</v>
      </c>
      <c r="I206" s="30">
        <v>25.0</v>
      </c>
      <c r="J206" s="28" t="s">
        <v>31</v>
      </c>
      <c r="K206" s="28">
        <v>0.0</v>
      </c>
      <c r="L206" s="26" t="str">
        <f t="shared" si="1"/>
        <v>Baixo</v>
      </c>
      <c r="M206" s="31" t="str">
        <f t="shared" si="2"/>
        <v>Aceito</v>
      </c>
      <c r="N206" s="31" t="str">
        <f t="shared" si="3"/>
        <v>Positiva</v>
      </c>
      <c r="O206" s="32">
        <v>55500.0</v>
      </c>
      <c r="P206" s="28">
        <f t="shared" si="4"/>
        <v>0</v>
      </c>
      <c r="Q206" s="26">
        <f t="shared" si="5"/>
        <v>1</v>
      </c>
    </row>
    <row r="207">
      <c r="A207" s="33" t="s">
        <v>76</v>
      </c>
      <c r="B207" s="33" t="s">
        <v>764</v>
      </c>
      <c r="C207" s="34">
        <v>9600.0</v>
      </c>
      <c r="D207" s="35">
        <v>49.0</v>
      </c>
      <c r="E207" s="36">
        <v>28330.0</v>
      </c>
      <c r="F207" s="33" t="s">
        <v>136</v>
      </c>
      <c r="G207" s="33" t="s">
        <v>117</v>
      </c>
      <c r="H207" s="37">
        <v>11500.0</v>
      </c>
      <c r="I207" s="37">
        <v>44500.0</v>
      </c>
      <c r="J207" s="35" t="s">
        <v>31</v>
      </c>
      <c r="K207" s="35">
        <v>45.0</v>
      </c>
      <c r="L207" s="33" t="str">
        <f t="shared" si="1"/>
        <v>Alto</v>
      </c>
      <c r="M207" s="38" t="str">
        <f t="shared" si="2"/>
        <v>Aceito</v>
      </c>
      <c r="N207" s="38" t="str">
        <f t="shared" si="3"/>
        <v>Positiva</v>
      </c>
      <c r="O207" s="39">
        <v>3000.0</v>
      </c>
      <c r="P207" s="35">
        <f t="shared" si="4"/>
        <v>0</v>
      </c>
      <c r="Q207" s="33">
        <f t="shared" si="5"/>
        <v>1</v>
      </c>
    </row>
    <row r="208">
      <c r="A208" s="26" t="s">
        <v>76</v>
      </c>
      <c r="B208" s="26" t="s">
        <v>765</v>
      </c>
      <c r="C208" s="27">
        <v>19000.0</v>
      </c>
      <c r="D208" s="28">
        <v>42.0</v>
      </c>
      <c r="E208" s="29">
        <v>31018.0</v>
      </c>
      <c r="F208" s="26" t="s">
        <v>234</v>
      </c>
      <c r="G208" s="26" t="s">
        <v>205</v>
      </c>
      <c r="H208" s="30">
        <v>18500.0</v>
      </c>
      <c r="I208" s="30">
        <v>59000.0</v>
      </c>
      <c r="J208" s="28" t="s">
        <v>31</v>
      </c>
      <c r="K208" s="28">
        <v>44.0</v>
      </c>
      <c r="L208" s="26" t="str">
        <f t="shared" si="1"/>
        <v>Alto</v>
      </c>
      <c r="M208" s="31" t="str">
        <f t="shared" si="2"/>
        <v>Aceito</v>
      </c>
      <c r="N208" s="31" t="str">
        <f t="shared" si="3"/>
        <v>Positiva</v>
      </c>
      <c r="O208" s="32">
        <v>16500.0</v>
      </c>
      <c r="P208" s="28">
        <f t="shared" si="4"/>
        <v>0</v>
      </c>
      <c r="Q208" s="26">
        <f t="shared" si="5"/>
        <v>1</v>
      </c>
    </row>
    <row r="209">
      <c r="A209" s="33" t="s">
        <v>71</v>
      </c>
      <c r="B209" s="33" t="s">
        <v>767</v>
      </c>
      <c r="C209" s="34" t="s">
        <v>768</v>
      </c>
      <c r="D209" s="35">
        <v>19.0</v>
      </c>
      <c r="E209" s="36">
        <v>39338.0</v>
      </c>
      <c r="F209" s="33" t="s">
        <v>246</v>
      </c>
      <c r="G209" s="33" t="s">
        <v>205</v>
      </c>
      <c r="H209" s="37">
        <v>14100.0</v>
      </c>
      <c r="I209" s="37">
        <v>38500.0</v>
      </c>
      <c r="J209" s="35" t="s">
        <v>31</v>
      </c>
      <c r="K209" s="35">
        <v>7.0</v>
      </c>
      <c r="L209" s="33" t="str">
        <f t="shared" si="1"/>
        <v>Baixo</v>
      </c>
      <c r="M209" s="38" t="str">
        <f t="shared" si="2"/>
        <v>Aceito</v>
      </c>
      <c r="N209" s="38" t="str">
        <f t="shared" si="3"/>
        <v>Positiva</v>
      </c>
      <c r="O209" s="39">
        <v>11000.0</v>
      </c>
      <c r="P209" s="39">
        <f t="shared" si="4"/>
        <v>11880</v>
      </c>
      <c r="Q209" s="33">
        <f t="shared" si="5"/>
        <v>1</v>
      </c>
    </row>
    <row r="210">
      <c r="A210" s="26" t="s">
        <v>71</v>
      </c>
      <c r="B210" s="26" t="s">
        <v>769</v>
      </c>
      <c r="C210" s="27">
        <v>4900.0</v>
      </c>
      <c r="D210" s="28">
        <v>19.0</v>
      </c>
      <c r="E210" s="29">
        <v>39369.0</v>
      </c>
      <c r="F210" s="26" t="s">
        <v>115</v>
      </c>
      <c r="G210" s="26" t="s">
        <v>117</v>
      </c>
      <c r="H210" s="30">
        <v>18500.0</v>
      </c>
      <c r="I210" s="30">
        <v>74500.0</v>
      </c>
      <c r="J210" s="28" t="s">
        <v>32</v>
      </c>
      <c r="K210" s="28">
        <v>20.0</v>
      </c>
      <c r="L210" s="26" t="str">
        <f t="shared" si="1"/>
        <v>Médio</v>
      </c>
      <c r="M210" s="31" t="str">
        <f t="shared" si="2"/>
        <v>Aceito</v>
      </c>
      <c r="N210" s="31" t="str">
        <f t="shared" si="3"/>
        <v>Negativa</v>
      </c>
      <c r="O210" s="32">
        <v>45500.0</v>
      </c>
      <c r="P210" s="32">
        <f t="shared" si="4"/>
        <v>49140</v>
      </c>
      <c r="Q210" s="26">
        <f t="shared" si="5"/>
        <v>1</v>
      </c>
    </row>
    <row r="211">
      <c r="A211" s="33" t="s">
        <v>71</v>
      </c>
      <c r="B211" s="33" t="s">
        <v>770</v>
      </c>
      <c r="C211" s="34" t="s">
        <v>771</v>
      </c>
      <c r="D211" s="35">
        <v>66.0</v>
      </c>
      <c r="E211" s="36">
        <v>21980.0</v>
      </c>
      <c r="F211" s="33" t="s">
        <v>270</v>
      </c>
      <c r="G211" s="33" t="s">
        <v>270</v>
      </c>
      <c r="H211" s="37">
        <v>14300.0</v>
      </c>
      <c r="I211" s="37">
        <v>78000.0</v>
      </c>
      <c r="J211" s="35" t="s">
        <v>31</v>
      </c>
      <c r="K211" s="35">
        <v>28.0</v>
      </c>
      <c r="L211" s="33" t="str">
        <f t="shared" si="1"/>
        <v>Alto</v>
      </c>
      <c r="M211" s="38" t="str">
        <f t="shared" si="2"/>
        <v>Aceito</v>
      </c>
      <c r="N211" s="38" t="str">
        <f t="shared" si="3"/>
        <v>Positiva</v>
      </c>
      <c r="O211" s="39">
        <v>74500.0</v>
      </c>
      <c r="P211" s="39">
        <f t="shared" si="4"/>
        <v>80460</v>
      </c>
      <c r="Q211" s="33">
        <f t="shared" si="5"/>
        <v>1</v>
      </c>
    </row>
    <row r="212">
      <c r="A212" s="26" t="s">
        <v>76</v>
      </c>
      <c r="B212" s="26" t="s">
        <v>774</v>
      </c>
      <c r="C212" s="27" t="s">
        <v>775</v>
      </c>
      <c r="D212" s="28">
        <v>35.0</v>
      </c>
      <c r="E212" s="29">
        <v>33454.0</v>
      </c>
      <c r="F212" s="26" t="s">
        <v>74</v>
      </c>
      <c r="G212" s="26" t="s">
        <v>75</v>
      </c>
      <c r="H212" s="30">
        <v>20900.0</v>
      </c>
      <c r="I212" s="30">
        <v>54000.0</v>
      </c>
      <c r="J212" s="28" t="s">
        <v>109</v>
      </c>
      <c r="K212" s="28">
        <v>44.0</v>
      </c>
      <c r="L212" s="26" t="str">
        <f t="shared" si="1"/>
        <v>Alto</v>
      </c>
      <c r="M212" s="31" t="str">
        <f t="shared" si="2"/>
        <v>Aceito</v>
      </c>
      <c r="N212" s="31" t="str">
        <f t="shared" si="3"/>
        <v>Positiva</v>
      </c>
      <c r="O212" s="32">
        <v>18000.0</v>
      </c>
      <c r="P212" s="28">
        <f t="shared" si="4"/>
        <v>0</v>
      </c>
      <c r="Q212" s="26">
        <f t="shared" si="5"/>
        <v>1</v>
      </c>
    </row>
    <row r="213">
      <c r="A213" s="33" t="s">
        <v>71</v>
      </c>
      <c r="B213" s="33" t="s">
        <v>777</v>
      </c>
      <c r="C213" s="34">
        <v>27800.0</v>
      </c>
      <c r="D213" s="35">
        <v>38.0</v>
      </c>
      <c r="E213" s="36">
        <v>32152.0</v>
      </c>
      <c r="F213" s="33" t="s">
        <v>1130</v>
      </c>
      <c r="G213" s="33" t="s">
        <v>340</v>
      </c>
      <c r="H213" s="37">
        <v>2000.0</v>
      </c>
      <c r="I213" s="37">
        <v>60000.0</v>
      </c>
      <c r="J213" s="35" t="s">
        <v>31</v>
      </c>
      <c r="K213" s="35">
        <v>18.0</v>
      </c>
      <c r="L213" s="33" t="str">
        <f t="shared" si="1"/>
        <v>Médio</v>
      </c>
      <c r="M213" s="38" t="str">
        <f t="shared" si="2"/>
        <v>Aceito</v>
      </c>
      <c r="N213" s="38" t="str">
        <f t="shared" si="3"/>
        <v>Positiva</v>
      </c>
      <c r="O213" s="39">
        <v>54000.0</v>
      </c>
      <c r="P213" s="39">
        <f t="shared" si="4"/>
        <v>58320</v>
      </c>
      <c r="Q213" s="33">
        <f t="shared" si="5"/>
        <v>1</v>
      </c>
    </row>
    <row r="214">
      <c r="A214" s="26" t="s">
        <v>76</v>
      </c>
      <c r="B214" s="26" t="s">
        <v>366</v>
      </c>
      <c r="C214" s="27" t="s">
        <v>367</v>
      </c>
      <c r="D214" s="28">
        <v>47.0</v>
      </c>
      <c r="E214" s="29">
        <v>29113.0</v>
      </c>
      <c r="F214" s="26" t="s">
        <v>246</v>
      </c>
      <c r="G214" s="26" t="s">
        <v>205</v>
      </c>
      <c r="H214" s="30">
        <v>15000.0</v>
      </c>
      <c r="I214" s="30">
        <v>0.0</v>
      </c>
      <c r="J214" s="28" t="s">
        <v>31</v>
      </c>
      <c r="K214" s="28">
        <v>40.0</v>
      </c>
      <c r="L214" s="26" t="str">
        <f t="shared" si="1"/>
        <v>Alto</v>
      </c>
      <c r="M214" s="31" t="str">
        <f t="shared" si="2"/>
        <v>Aceito</v>
      </c>
      <c r="N214" s="31" t="str">
        <f t="shared" si="3"/>
        <v>Positiva</v>
      </c>
      <c r="O214" s="32">
        <v>90500.0</v>
      </c>
      <c r="P214" s="28">
        <f t="shared" si="4"/>
        <v>0</v>
      </c>
      <c r="Q214" s="26">
        <f t="shared" si="5"/>
        <v>1</v>
      </c>
    </row>
    <row r="215">
      <c r="A215" s="33" t="s">
        <v>71</v>
      </c>
      <c r="B215" s="33" t="s">
        <v>780</v>
      </c>
      <c r="C215" s="34" t="s">
        <v>781</v>
      </c>
      <c r="D215" s="35">
        <v>72.0</v>
      </c>
      <c r="E215" s="36">
        <v>19800.0</v>
      </c>
      <c r="F215" s="33" t="s">
        <v>193</v>
      </c>
      <c r="G215" s="33" t="s">
        <v>195</v>
      </c>
      <c r="H215" s="37">
        <v>24300.0</v>
      </c>
      <c r="I215" s="37">
        <v>13500.0</v>
      </c>
      <c r="J215" s="35" t="s">
        <v>31</v>
      </c>
      <c r="K215" s="35">
        <v>33.0</v>
      </c>
      <c r="L215" s="33" t="str">
        <f t="shared" si="1"/>
        <v>Alto</v>
      </c>
      <c r="M215" s="38" t="str">
        <f t="shared" si="2"/>
        <v>Aceito</v>
      </c>
      <c r="N215" s="38" t="str">
        <f t="shared" si="3"/>
        <v>Positiva</v>
      </c>
      <c r="O215" s="39">
        <v>14500.0</v>
      </c>
      <c r="P215" s="39">
        <f t="shared" si="4"/>
        <v>15660</v>
      </c>
      <c r="Q215" s="33">
        <f t="shared" si="5"/>
        <v>1</v>
      </c>
    </row>
    <row r="216">
      <c r="A216" s="26" t="s">
        <v>76</v>
      </c>
      <c r="B216" s="26" t="s">
        <v>782</v>
      </c>
      <c r="C216" s="27" t="s">
        <v>783</v>
      </c>
      <c r="D216" s="28">
        <v>127.0</v>
      </c>
      <c r="E216" s="29">
        <v>0.0</v>
      </c>
      <c r="F216" s="26" t="s">
        <v>136</v>
      </c>
      <c r="G216" s="26" t="s">
        <v>117</v>
      </c>
      <c r="H216" s="30">
        <v>4500.0</v>
      </c>
      <c r="I216" s="30">
        <v>0.0</v>
      </c>
      <c r="J216" s="28" t="s">
        <v>32</v>
      </c>
      <c r="K216" s="28">
        <v>32.0</v>
      </c>
      <c r="L216" s="26" t="str">
        <f t="shared" si="1"/>
        <v>Alto</v>
      </c>
      <c r="M216" s="31" t="str">
        <f t="shared" si="2"/>
        <v>Negado</v>
      </c>
      <c r="N216" s="31" t="str">
        <f t="shared" si="3"/>
        <v>Positiva</v>
      </c>
      <c r="O216" s="32">
        <v>56500.0</v>
      </c>
      <c r="P216" s="28">
        <f t="shared" si="4"/>
        <v>0</v>
      </c>
      <c r="Q216" s="26">
        <f t="shared" si="5"/>
        <v>1</v>
      </c>
    </row>
    <row r="217">
      <c r="A217" s="33" t="s">
        <v>71</v>
      </c>
      <c r="B217" s="33" t="s">
        <v>785</v>
      </c>
      <c r="C217" s="34" t="s">
        <v>786</v>
      </c>
      <c r="D217" s="35">
        <v>22.0</v>
      </c>
      <c r="E217" s="36">
        <v>38079.0</v>
      </c>
      <c r="F217" s="33" t="s">
        <v>78</v>
      </c>
      <c r="G217" s="33" t="s">
        <v>79</v>
      </c>
      <c r="H217" s="37">
        <v>9200.0</v>
      </c>
      <c r="I217" s="37">
        <v>5000.0</v>
      </c>
      <c r="J217" s="35" t="s">
        <v>31</v>
      </c>
      <c r="K217" s="35">
        <v>42.0</v>
      </c>
      <c r="L217" s="33" t="str">
        <f t="shared" si="1"/>
        <v>Alto</v>
      </c>
      <c r="M217" s="38" t="str">
        <f t="shared" si="2"/>
        <v>Aceito</v>
      </c>
      <c r="N217" s="38" t="str">
        <f t="shared" si="3"/>
        <v>Positiva</v>
      </c>
      <c r="O217" s="39">
        <v>63500.0</v>
      </c>
      <c r="P217" s="39">
        <f t="shared" si="4"/>
        <v>68580</v>
      </c>
      <c r="Q217" s="33">
        <f t="shared" si="5"/>
        <v>1</v>
      </c>
    </row>
    <row r="218">
      <c r="A218" s="26" t="s">
        <v>71</v>
      </c>
      <c r="B218" s="26" t="s">
        <v>787</v>
      </c>
      <c r="C218" s="27" t="s">
        <v>788</v>
      </c>
      <c r="D218" s="28">
        <v>39.0</v>
      </c>
      <c r="E218" s="29">
        <v>31972.0</v>
      </c>
      <c r="F218" s="26" t="s">
        <v>193</v>
      </c>
      <c r="G218" s="26" t="s">
        <v>195</v>
      </c>
      <c r="H218" s="30">
        <v>8700.0</v>
      </c>
      <c r="I218" s="30">
        <v>4500.0</v>
      </c>
      <c r="J218" s="28" t="s">
        <v>31</v>
      </c>
      <c r="K218" s="28">
        <v>16.0</v>
      </c>
      <c r="L218" s="26" t="str">
        <f t="shared" si="1"/>
        <v>Médio</v>
      </c>
      <c r="M218" s="31" t="str">
        <f t="shared" si="2"/>
        <v>Aceito</v>
      </c>
      <c r="N218" s="31" t="str">
        <f t="shared" si="3"/>
        <v>Positiva</v>
      </c>
      <c r="O218" s="32">
        <v>93500.0</v>
      </c>
      <c r="P218" s="32">
        <f t="shared" si="4"/>
        <v>100980</v>
      </c>
      <c r="Q218" s="26">
        <f t="shared" si="5"/>
        <v>1</v>
      </c>
    </row>
    <row r="219">
      <c r="A219" s="33" t="s">
        <v>71</v>
      </c>
      <c r="B219" s="33" t="s">
        <v>789</v>
      </c>
      <c r="C219" s="34">
        <v>9800.0</v>
      </c>
      <c r="D219" s="35">
        <v>35.0</v>
      </c>
      <c r="E219" s="36">
        <v>33440.0</v>
      </c>
      <c r="F219" s="33" t="s">
        <v>100</v>
      </c>
      <c r="G219" s="33" t="s">
        <v>88</v>
      </c>
      <c r="H219" s="37">
        <v>2000.0</v>
      </c>
      <c r="I219" s="37">
        <v>5500.0</v>
      </c>
      <c r="J219" s="35" t="s">
        <v>31</v>
      </c>
      <c r="K219" s="35">
        <v>34.0</v>
      </c>
      <c r="L219" s="33" t="str">
        <f t="shared" si="1"/>
        <v>Alto</v>
      </c>
      <c r="M219" s="38" t="str">
        <f t="shared" si="2"/>
        <v>Aceito</v>
      </c>
      <c r="N219" s="38" t="str">
        <f t="shared" si="3"/>
        <v>Positiva</v>
      </c>
      <c r="O219" s="39">
        <v>71000.0</v>
      </c>
      <c r="P219" s="39">
        <f t="shared" si="4"/>
        <v>76680</v>
      </c>
      <c r="Q219" s="33">
        <f t="shared" si="5"/>
        <v>1</v>
      </c>
    </row>
    <row r="220">
      <c r="A220" s="26" t="s">
        <v>71</v>
      </c>
      <c r="B220" s="26" t="s">
        <v>792</v>
      </c>
      <c r="C220" s="27" t="s">
        <v>793</v>
      </c>
      <c r="D220" s="28">
        <v>73.0</v>
      </c>
      <c r="E220" s="29">
        <v>19623.0</v>
      </c>
      <c r="F220" s="26" t="s">
        <v>93</v>
      </c>
      <c r="G220" s="26" t="s">
        <v>94</v>
      </c>
      <c r="H220" s="30">
        <v>12600.0</v>
      </c>
      <c r="I220" s="30">
        <v>5.5</v>
      </c>
      <c r="J220" s="28" t="s">
        <v>31</v>
      </c>
      <c r="K220" s="28">
        <v>35.0</v>
      </c>
      <c r="L220" s="26" t="str">
        <f t="shared" si="1"/>
        <v>Alto</v>
      </c>
      <c r="M220" s="31" t="str">
        <f t="shared" si="2"/>
        <v>Aceito</v>
      </c>
      <c r="N220" s="31" t="str">
        <f t="shared" si="3"/>
        <v>Positiva</v>
      </c>
      <c r="O220" s="32">
        <v>21000.0</v>
      </c>
      <c r="P220" s="32">
        <f t="shared" si="4"/>
        <v>22680</v>
      </c>
      <c r="Q220" s="26">
        <f t="shared" si="5"/>
        <v>1</v>
      </c>
    </row>
    <row r="221">
      <c r="A221" s="33" t="s">
        <v>76</v>
      </c>
      <c r="B221" s="33" t="s">
        <v>1109</v>
      </c>
      <c r="C221" s="34" t="s">
        <v>795</v>
      </c>
      <c r="D221" s="35">
        <v>127.0</v>
      </c>
      <c r="E221" s="36">
        <v>0.0</v>
      </c>
      <c r="F221" s="33" t="s">
        <v>203</v>
      </c>
      <c r="G221" s="33" t="s">
        <v>205</v>
      </c>
      <c r="H221" s="37">
        <v>29300.0</v>
      </c>
      <c r="I221" s="37">
        <v>32000.0</v>
      </c>
      <c r="J221" s="35" t="s">
        <v>32</v>
      </c>
      <c r="K221" s="35">
        <v>26.0</v>
      </c>
      <c r="L221" s="33" t="str">
        <f t="shared" si="1"/>
        <v>Alto</v>
      </c>
      <c r="M221" s="38" t="str">
        <f t="shared" si="2"/>
        <v>Negado</v>
      </c>
      <c r="N221" s="38" t="str">
        <f t="shared" si="3"/>
        <v>Positiva</v>
      </c>
      <c r="O221" s="39">
        <v>59000.0</v>
      </c>
      <c r="P221" s="35">
        <f t="shared" si="4"/>
        <v>0</v>
      </c>
      <c r="Q221" s="33">
        <f t="shared" si="5"/>
        <v>1</v>
      </c>
    </row>
    <row r="222">
      <c r="A222" s="26" t="s">
        <v>71</v>
      </c>
      <c r="B222" s="26" t="s">
        <v>796</v>
      </c>
      <c r="C222" s="27" t="s">
        <v>797</v>
      </c>
      <c r="D222" s="28">
        <v>26.0</v>
      </c>
      <c r="E222" s="29">
        <v>36540.0</v>
      </c>
      <c r="F222" s="26" t="s">
        <v>82</v>
      </c>
      <c r="G222" s="26" t="s">
        <v>83</v>
      </c>
      <c r="H222" s="30">
        <v>24000.0</v>
      </c>
      <c r="I222" s="30">
        <v>52000.0</v>
      </c>
      <c r="J222" s="28" t="s">
        <v>31</v>
      </c>
      <c r="K222" s="28">
        <v>30.0</v>
      </c>
      <c r="L222" s="26" t="str">
        <f t="shared" si="1"/>
        <v>Alto</v>
      </c>
      <c r="M222" s="31" t="str">
        <f t="shared" si="2"/>
        <v>Aceito</v>
      </c>
      <c r="N222" s="31" t="str">
        <f t="shared" si="3"/>
        <v>Positiva</v>
      </c>
      <c r="O222" s="32">
        <v>62500.0</v>
      </c>
      <c r="P222" s="32">
        <f t="shared" si="4"/>
        <v>67500</v>
      </c>
      <c r="Q222" s="26">
        <f t="shared" si="5"/>
        <v>1</v>
      </c>
    </row>
    <row r="223">
      <c r="A223" s="33" t="s">
        <v>71</v>
      </c>
      <c r="B223" s="33" t="s">
        <v>799</v>
      </c>
      <c r="C223" s="34" t="s">
        <v>800</v>
      </c>
      <c r="D223" s="35">
        <v>35.0</v>
      </c>
      <c r="E223" s="36">
        <v>33309.0</v>
      </c>
      <c r="F223" s="33" t="s">
        <v>193</v>
      </c>
      <c r="G223" s="33" t="s">
        <v>195</v>
      </c>
      <c r="H223" s="37">
        <v>28500.0</v>
      </c>
      <c r="I223" s="37">
        <v>48500.0</v>
      </c>
      <c r="J223" s="35" t="s">
        <v>31</v>
      </c>
      <c r="K223" s="35">
        <v>24.0</v>
      </c>
      <c r="L223" s="33" t="str">
        <f t="shared" si="1"/>
        <v>Médio</v>
      </c>
      <c r="M223" s="38" t="str">
        <f t="shared" si="2"/>
        <v>Aceito</v>
      </c>
      <c r="N223" s="38" t="str">
        <f t="shared" si="3"/>
        <v>Positiva</v>
      </c>
      <c r="O223" s="39">
        <v>80500.0</v>
      </c>
      <c r="P223" s="39">
        <f t="shared" si="4"/>
        <v>86940</v>
      </c>
      <c r="Q223" s="33">
        <f t="shared" si="5"/>
        <v>1</v>
      </c>
    </row>
    <row r="224">
      <c r="A224" s="26" t="s">
        <v>71</v>
      </c>
      <c r="B224" s="26" t="s">
        <v>1166</v>
      </c>
      <c r="C224" s="27" t="s">
        <v>804</v>
      </c>
      <c r="D224" s="28">
        <v>23.0</v>
      </c>
      <c r="E224" s="29">
        <v>37785.0</v>
      </c>
      <c r="F224" s="26" t="s">
        <v>316</v>
      </c>
      <c r="G224" s="26" t="s">
        <v>83</v>
      </c>
      <c r="H224" s="30">
        <v>17900.0</v>
      </c>
      <c r="I224" s="30">
        <v>28000.0</v>
      </c>
      <c r="J224" s="28" t="s">
        <v>31</v>
      </c>
      <c r="K224" s="28">
        <v>41.0</v>
      </c>
      <c r="L224" s="26" t="str">
        <f t="shared" si="1"/>
        <v>Alto</v>
      </c>
      <c r="M224" s="31" t="str">
        <f t="shared" si="2"/>
        <v>Aceito</v>
      </c>
      <c r="N224" s="31" t="str">
        <f t="shared" si="3"/>
        <v>Positiva</v>
      </c>
      <c r="O224" s="32">
        <v>52500.0</v>
      </c>
      <c r="P224" s="32">
        <f t="shared" si="4"/>
        <v>56700</v>
      </c>
      <c r="Q224" s="26">
        <f t="shared" si="5"/>
        <v>1</v>
      </c>
    </row>
    <row r="225">
      <c r="A225" s="33" t="s">
        <v>71</v>
      </c>
      <c r="B225" s="33" t="s">
        <v>806</v>
      </c>
      <c r="C225" s="34" t="s">
        <v>807</v>
      </c>
      <c r="D225" s="35">
        <v>34.0</v>
      </c>
      <c r="E225" s="36">
        <v>33902.0</v>
      </c>
      <c r="F225" s="33" t="s">
        <v>258</v>
      </c>
      <c r="G225" s="33" t="s">
        <v>222</v>
      </c>
      <c r="H225" s="37">
        <v>12500.0</v>
      </c>
      <c r="I225" s="37">
        <v>51500.0</v>
      </c>
      <c r="J225" s="35" t="s">
        <v>32</v>
      </c>
      <c r="K225" s="35">
        <v>44.0</v>
      </c>
      <c r="L225" s="33" t="str">
        <f t="shared" si="1"/>
        <v>Alto</v>
      </c>
      <c r="M225" s="38" t="str">
        <f t="shared" si="2"/>
        <v>Negado</v>
      </c>
      <c r="N225" s="38" t="str">
        <f t="shared" si="3"/>
        <v>Negativa</v>
      </c>
      <c r="O225" s="39">
        <v>24000.0</v>
      </c>
      <c r="P225" s="35">
        <f t="shared" si="4"/>
        <v>0</v>
      </c>
      <c r="Q225" s="33">
        <f t="shared" si="5"/>
        <v>0</v>
      </c>
    </row>
    <row r="226">
      <c r="A226" s="26" t="s">
        <v>71</v>
      </c>
      <c r="B226" s="26" t="s">
        <v>792</v>
      </c>
      <c r="C226" s="27" t="s">
        <v>808</v>
      </c>
      <c r="D226" s="28">
        <v>64.0</v>
      </c>
      <c r="E226" s="29">
        <v>22959.0</v>
      </c>
      <c r="F226" s="26" t="s">
        <v>270</v>
      </c>
      <c r="G226" s="26" t="s">
        <v>270</v>
      </c>
      <c r="H226" s="30">
        <v>5500.0</v>
      </c>
      <c r="I226" s="30">
        <v>41000.0</v>
      </c>
      <c r="J226" s="28" t="s">
        <v>31</v>
      </c>
      <c r="K226" s="28">
        <v>2.0</v>
      </c>
      <c r="L226" s="26" t="str">
        <f t="shared" si="1"/>
        <v>Baixo</v>
      </c>
      <c r="M226" s="31" t="str">
        <f t="shared" si="2"/>
        <v>Aceito</v>
      </c>
      <c r="N226" s="31" t="str">
        <f t="shared" si="3"/>
        <v>Positiva</v>
      </c>
      <c r="O226" s="32">
        <v>54500.0</v>
      </c>
      <c r="P226" s="32">
        <f t="shared" si="4"/>
        <v>58860</v>
      </c>
      <c r="Q226" s="26">
        <f t="shared" si="5"/>
        <v>1</v>
      </c>
    </row>
    <row r="227">
      <c r="A227" s="33" t="s">
        <v>71</v>
      </c>
      <c r="B227" s="33" t="s">
        <v>810</v>
      </c>
      <c r="C227" s="34" t="s">
        <v>811</v>
      </c>
      <c r="D227" s="35">
        <v>31.0</v>
      </c>
      <c r="E227" s="36">
        <v>34826.0</v>
      </c>
      <c r="F227" s="33" t="s">
        <v>82</v>
      </c>
      <c r="G227" s="33" t="s">
        <v>83</v>
      </c>
      <c r="H227" s="37">
        <v>16400.0</v>
      </c>
      <c r="I227" s="37">
        <v>45500.0</v>
      </c>
      <c r="J227" s="35" t="s">
        <v>31</v>
      </c>
      <c r="K227" s="35">
        <v>6.0</v>
      </c>
      <c r="L227" s="33" t="str">
        <f t="shared" si="1"/>
        <v>Baixo</v>
      </c>
      <c r="M227" s="38" t="str">
        <f t="shared" si="2"/>
        <v>Aceito</v>
      </c>
      <c r="N227" s="38" t="str">
        <f t="shared" si="3"/>
        <v>Positiva</v>
      </c>
      <c r="O227" s="39">
        <v>49500.0</v>
      </c>
      <c r="P227" s="39">
        <f t="shared" si="4"/>
        <v>53460</v>
      </c>
      <c r="Q227" s="33">
        <f t="shared" si="5"/>
        <v>1</v>
      </c>
    </row>
    <row r="228">
      <c r="A228" s="26" t="s">
        <v>71</v>
      </c>
      <c r="B228" s="26" t="s">
        <v>813</v>
      </c>
      <c r="C228" s="27" t="s">
        <v>814</v>
      </c>
      <c r="D228" s="28">
        <v>72.0</v>
      </c>
      <c r="E228" s="29">
        <v>19793.0</v>
      </c>
      <c r="F228" s="26" t="s">
        <v>342</v>
      </c>
      <c r="G228" s="26" t="s">
        <v>437</v>
      </c>
      <c r="H228" s="30">
        <v>15100.0</v>
      </c>
      <c r="I228" s="30" t="s">
        <v>84</v>
      </c>
      <c r="J228" s="28" t="s">
        <v>31</v>
      </c>
      <c r="K228" s="28">
        <v>42.0</v>
      </c>
      <c r="L228" s="26" t="str">
        <f t="shared" si="1"/>
        <v>Alto</v>
      </c>
      <c r="M228" s="31" t="str">
        <f t="shared" si="2"/>
        <v>Aceito</v>
      </c>
      <c r="N228" s="31" t="str">
        <f t="shared" si="3"/>
        <v>Positiva</v>
      </c>
      <c r="O228" s="32">
        <v>77000.0</v>
      </c>
      <c r="P228" s="32">
        <f t="shared" si="4"/>
        <v>83160</v>
      </c>
      <c r="Q228" s="26">
        <f t="shared" si="5"/>
        <v>1</v>
      </c>
    </row>
    <row r="229">
      <c r="A229" s="33" t="s">
        <v>340</v>
      </c>
      <c r="B229" s="33" t="s">
        <v>815</v>
      </c>
      <c r="C229" s="34">
        <v>21900.0</v>
      </c>
      <c r="D229" s="35">
        <v>67.0</v>
      </c>
      <c r="E229" s="36">
        <v>21619.0</v>
      </c>
      <c r="F229" s="33" t="s">
        <v>78</v>
      </c>
      <c r="G229" s="33" t="s">
        <v>79</v>
      </c>
      <c r="H229" s="37">
        <v>20200.0</v>
      </c>
      <c r="I229" s="37">
        <v>6500.0</v>
      </c>
      <c r="J229" s="35" t="s">
        <v>31</v>
      </c>
      <c r="K229" s="35">
        <v>1.0</v>
      </c>
      <c r="L229" s="33" t="str">
        <f t="shared" si="1"/>
        <v>Baixo</v>
      </c>
      <c r="M229" s="38" t="str">
        <f t="shared" si="2"/>
        <v>Aceito</v>
      </c>
      <c r="N229" s="38" t="str">
        <f t="shared" si="3"/>
        <v>Positiva</v>
      </c>
      <c r="O229" s="39">
        <v>98500.0</v>
      </c>
      <c r="P229" s="35">
        <f t="shared" si="4"/>
        <v>0</v>
      </c>
      <c r="Q229" s="33">
        <f t="shared" si="5"/>
        <v>1</v>
      </c>
    </row>
    <row r="230">
      <c r="A230" s="26" t="s">
        <v>71</v>
      </c>
      <c r="B230" s="26" t="s">
        <v>816</v>
      </c>
      <c r="C230" s="27" t="s">
        <v>817</v>
      </c>
      <c r="D230" s="28">
        <v>27.0</v>
      </c>
      <c r="E230" s="29">
        <v>36377.0</v>
      </c>
      <c r="F230" s="26" t="s">
        <v>255</v>
      </c>
      <c r="G230" s="26" t="s">
        <v>205</v>
      </c>
      <c r="H230" s="30">
        <v>29700.0</v>
      </c>
      <c r="I230" s="30">
        <v>12000.0</v>
      </c>
      <c r="J230" s="28" t="s">
        <v>31</v>
      </c>
      <c r="K230" s="28">
        <v>37.0</v>
      </c>
      <c r="L230" s="26" t="str">
        <f t="shared" si="1"/>
        <v>Alto</v>
      </c>
      <c r="M230" s="31" t="str">
        <f t="shared" si="2"/>
        <v>Aceito</v>
      </c>
      <c r="N230" s="31" t="str">
        <f t="shared" si="3"/>
        <v>Positiva</v>
      </c>
      <c r="O230" s="32">
        <v>49000.0</v>
      </c>
      <c r="P230" s="32">
        <f t="shared" si="4"/>
        <v>52920</v>
      </c>
      <c r="Q230" s="26">
        <f t="shared" si="5"/>
        <v>1</v>
      </c>
    </row>
    <row r="231">
      <c r="A231" s="33" t="s">
        <v>76</v>
      </c>
      <c r="B231" s="33" t="s">
        <v>818</v>
      </c>
      <c r="C231" s="34" t="s">
        <v>819</v>
      </c>
      <c r="D231" s="35">
        <v>25.0</v>
      </c>
      <c r="E231" s="36">
        <v>37056.0</v>
      </c>
      <c r="F231" s="33" t="s">
        <v>246</v>
      </c>
      <c r="G231" s="33" t="s">
        <v>205</v>
      </c>
      <c r="H231" s="37">
        <v>25400.0</v>
      </c>
      <c r="I231" s="37">
        <v>4000.0</v>
      </c>
      <c r="J231" s="35" t="s">
        <v>31</v>
      </c>
      <c r="K231" s="35">
        <v>4.0</v>
      </c>
      <c r="L231" s="33" t="str">
        <f t="shared" si="1"/>
        <v>Baixo</v>
      </c>
      <c r="M231" s="38" t="str">
        <f t="shared" si="2"/>
        <v>Aceito</v>
      </c>
      <c r="N231" s="38" t="str">
        <f t="shared" si="3"/>
        <v>Positiva</v>
      </c>
      <c r="O231" s="39">
        <v>8500.0</v>
      </c>
      <c r="P231" s="35">
        <f t="shared" si="4"/>
        <v>0</v>
      </c>
      <c r="Q231" s="33">
        <f t="shared" si="5"/>
        <v>1</v>
      </c>
    </row>
    <row r="232">
      <c r="A232" s="26" t="s">
        <v>71</v>
      </c>
      <c r="B232" s="26" t="s">
        <v>821</v>
      </c>
      <c r="C232" s="27" t="s">
        <v>822</v>
      </c>
      <c r="D232" s="28">
        <v>70.0</v>
      </c>
      <c r="E232" s="29">
        <v>20533.0</v>
      </c>
      <c r="F232" s="26" t="s">
        <v>342</v>
      </c>
      <c r="G232" s="26" t="s">
        <v>437</v>
      </c>
      <c r="H232" s="30">
        <v>9100.0</v>
      </c>
      <c r="I232" s="30">
        <v>40500.0</v>
      </c>
      <c r="J232" s="28" t="s">
        <v>31</v>
      </c>
      <c r="K232" s="28">
        <v>35.0</v>
      </c>
      <c r="L232" s="26" t="str">
        <f t="shared" si="1"/>
        <v>Alto</v>
      </c>
      <c r="M232" s="31" t="str">
        <f t="shared" si="2"/>
        <v>Aceito</v>
      </c>
      <c r="N232" s="31" t="str">
        <f t="shared" si="3"/>
        <v>Positiva</v>
      </c>
      <c r="O232" s="32">
        <v>53000.0</v>
      </c>
      <c r="P232" s="32">
        <f t="shared" si="4"/>
        <v>57240</v>
      </c>
      <c r="Q232" s="26">
        <f t="shared" si="5"/>
        <v>1</v>
      </c>
    </row>
    <row r="233">
      <c r="A233" s="33" t="s">
        <v>71</v>
      </c>
      <c r="B233" s="33" t="s">
        <v>823</v>
      </c>
      <c r="C233" s="34" t="s">
        <v>824</v>
      </c>
      <c r="D233" s="35">
        <v>57.0</v>
      </c>
      <c r="E233" s="36">
        <v>25208.0</v>
      </c>
      <c r="F233" s="33" t="s">
        <v>234</v>
      </c>
      <c r="G233" s="33" t="s">
        <v>205</v>
      </c>
      <c r="H233" s="37">
        <v>9500.0</v>
      </c>
      <c r="I233" s="37">
        <v>58000.0</v>
      </c>
      <c r="J233" s="35" t="s">
        <v>31</v>
      </c>
      <c r="K233" s="35">
        <v>23.0</v>
      </c>
      <c r="L233" s="33" t="str">
        <f t="shared" si="1"/>
        <v>Médio</v>
      </c>
      <c r="M233" s="38" t="str">
        <f t="shared" si="2"/>
        <v>Aceito</v>
      </c>
      <c r="N233" s="38" t="str">
        <f t="shared" si="3"/>
        <v>Positiva</v>
      </c>
      <c r="O233" s="39">
        <v>81500.0</v>
      </c>
      <c r="P233" s="39">
        <f t="shared" si="4"/>
        <v>88020</v>
      </c>
      <c r="Q233" s="33">
        <f t="shared" si="5"/>
        <v>1</v>
      </c>
    </row>
    <row r="234">
      <c r="A234" s="26" t="s">
        <v>71</v>
      </c>
      <c r="B234" s="26" t="s">
        <v>347</v>
      </c>
      <c r="C234" s="27" t="s">
        <v>825</v>
      </c>
      <c r="D234" s="28">
        <v>58.0</v>
      </c>
      <c r="E234" s="29">
        <v>25054.0</v>
      </c>
      <c r="F234" s="26" t="s">
        <v>316</v>
      </c>
      <c r="G234" s="26" t="s">
        <v>83</v>
      </c>
      <c r="H234" s="30">
        <v>4500.0</v>
      </c>
      <c r="I234" s="30">
        <v>20000.0</v>
      </c>
      <c r="J234" s="28" t="s">
        <v>32</v>
      </c>
      <c r="K234" s="28">
        <v>9.0</v>
      </c>
      <c r="L234" s="26" t="str">
        <f t="shared" si="1"/>
        <v>Baixo</v>
      </c>
      <c r="M234" s="31" t="str">
        <f t="shared" si="2"/>
        <v>Aceito</v>
      </c>
      <c r="N234" s="31" t="str">
        <f t="shared" si="3"/>
        <v>Positiva</v>
      </c>
      <c r="O234" s="32">
        <v>49000.0</v>
      </c>
      <c r="P234" s="32">
        <f t="shared" si="4"/>
        <v>52920</v>
      </c>
      <c r="Q234" s="26">
        <f t="shared" si="5"/>
        <v>1</v>
      </c>
    </row>
    <row r="235">
      <c r="A235" s="33" t="s">
        <v>71</v>
      </c>
      <c r="B235" s="33" t="s">
        <v>828</v>
      </c>
      <c r="C235" s="34">
        <v>6400.0</v>
      </c>
      <c r="D235" s="35">
        <v>57.0</v>
      </c>
      <c r="E235" s="36">
        <v>25206.0</v>
      </c>
      <c r="F235" s="33" t="s">
        <v>193</v>
      </c>
      <c r="G235" s="33" t="s">
        <v>195</v>
      </c>
      <c r="H235" s="37">
        <v>3400.0</v>
      </c>
      <c r="I235" s="37">
        <v>0.0</v>
      </c>
      <c r="J235" s="35" t="s">
        <v>31</v>
      </c>
      <c r="K235" s="35">
        <v>20.0</v>
      </c>
      <c r="L235" s="33" t="str">
        <f t="shared" si="1"/>
        <v>Médio</v>
      </c>
      <c r="M235" s="38" t="str">
        <f t="shared" si="2"/>
        <v>Aceito</v>
      </c>
      <c r="N235" s="38" t="str">
        <f t="shared" si="3"/>
        <v>Positiva</v>
      </c>
      <c r="O235" s="39">
        <v>19500.0</v>
      </c>
      <c r="P235" s="39">
        <f t="shared" si="4"/>
        <v>21060</v>
      </c>
      <c r="Q235" s="33">
        <f t="shared" si="5"/>
        <v>1</v>
      </c>
    </row>
    <row r="236">
      <c r="A236" s="26" t="s">
        <v>71</v>
      </c>
      <c r="B236" s="26" t="s">
        <v>829</v>
      </c>
      <c r="C236" s="27" t="s">
        <v>830</v>
      </c>
      <c r="D236" s="28">
        <v>65.0</v>
      </c>
      <c r="E236" s="29">
        <v>22366.0</v>
      </c>
      <c r="F236" s="26" t="s">
        <v>258</v>
      </c>
      <c r="G236" s="26" t="s">
        <v>222</v>
      </c>
      <c r="H236" s="30">
        <v>18000.0</v>
      </c>
      <c r="I236" s="30">
        <v>0.0</v>
      </c>
      <c r="J236" s="28" t="s">
        <v>31</v>
      </c>
      <c r="K236" s="28">
        <v>27.0</v>
      </c>
      <c r="L236" s="26" t="str">
        <f t="shared" si="1"/>
        <v>Alto</v>
      </c>
      <c r="M236" s="31" t="str">
        <f t="shared" si="2"/>
        <v>Aceito</v>
      </c>
      <c r="N236" s="31" t="str">
        <f t="shared" si="3"/>
        <v>Positiva</v>
      </c>
      <c r="O236" s="32">
        <v>38500.0</v>
      </c>
      <c r="P236" s="32">
        <f t="shared" si="4"/>
        <v>41580</v>
      </c>
      <c r="Q236" s="26">
        <f t="shared" si="5"/>
        <v>1</v>
      </c>
    </row>
    <row r="237">
      <c r="A237" s="33" t="s">
        <v>76</v>
      </c>
      <c r="B237" s="33" t="s">
        <v>832</v>
      </c>
      <c r="C237" s="34" t="s">
        <v>833</v>
      </c>
      <c r="D237" s="35">
        <v>39.0</v>
      </c>
      <c r="E237" s="36">
        <v>31930.0</v>
      </c>
      <c r="F237" s="33" t="s">
        <v>234</v>
      </c>
      <c r="G237" s="33" t="s">
        <v>205</v>
      </c>
      <c r="H237" s="37">
        <v>9300.0</v>
      </c>
      <c r="I237" s="37">
        <v>36500.0</v>
      </c>
      <c r="J237" s="35" t="s">
        <v>31</v>
      </c>
      <c r="K237" s="35"/>
      <c r="L237" s="33" t="str">
        <f t="shared" si="1"/>
        <v>Baixo</v>
      </c>
      <c r="M237" s="38" t="str">
        <f t="shared" si="2"/>
        <v>Aceito</v>
      </c>
      <c r="N237" s="38" t="str">
        <f t="shared" si="3"/>
        <v>Positiva</v>
      </c>
      <c r="O237" s="39">
        <v>3000.0</v>
      </c>
      <c r="P237" s="35">
        <f t="shared" si="4"/>
        <v>0</v>
      </c>
      <c r="Q237" s="33">
        <f t="shared" si="5"/>
        <v>1</v>
      </c>
    </row>
    <row r="238">
      <c r="A238" s="26" t="s">
        <v>71</v>
      </c>
      <c r="B238" s="26" t="s">
        <v>836</v>
      </c>
      <c r="C238" s="27">
        <v>30500.0</v>
      </c>
      <c r="D238" s="28">
        <v>63.0</v>
      </c>
      <c r="E238" s="29">
        <v>23278.0</v>
      </c>
      <c r="F238" s="26" t="s">
        <v>203</v>
      </c>
      <c r="G238" s="26" t="s">
        <v>205</v>
      </c>
      <c r="H238" s="30">
        <v>17000.0</v>
      </c>
      <c r="I238" s="30">
        <v>64000.0</v>
      </c>
      <c r="J238" s="28" t="s">
        <v>32</v>
      </c>
      <c r="K238" s="28">
        <v>21.0</v>
      </c>
      <c r="L238" s="26" t="str">
        <f t="shared" si="1"/>
        <v>Médio</v>
      </c>
      <c r="M238" s="31" t="str">
        <f t="shared" si="2"/>
        <v>Aceito</v>
      </c>
      <c r="N238" s="31" t="str">
        <f t="shared" si="3"/>
        <v>Negativa</v>
      </c>
      <c r="O238" s="32">
        <v>19000.0</v>
      </c>
      <c r="P238" s="32">
        <f t="shared" si="4"/>
        <v>20520</v>
      </c>
      <c r="Q238" s="26">
        <f t="shared" si="5"/>
        <v>1</v>
      </c>
    </row>
    <row r="239">
      <c r="A239" s="33" t="s">
        <v>76</v>
      </c>
      <c r="B239" s="33" t="s">
        <v>837</v>
      </c>
      <c r="C239" s="34" t="s">
        <v>838</v>
      </c>
      <c r="D239" s="35">
        <v>70.0</v>
      </c>
      <c r="E239" s="36">
        <v>20785.0</v>
      </c>
      <c r="F239" s="33" t="s">
        <v>203</v>
      </c>
      <c r="G239" s="33" t="s">
        <v>205</v>
      </c>
      <c r="H239" s="37">
        <v>16000.0</v>
      </c>
      <c r="I239" s="37">
        <v>48000.0</v>
      </c>
      <c r="J239" s="35" t="s">
        <v>31</v>
      </c>
      <c r="K239" s="35">
        <v>29.0</v>
      </c>
      <c r="L239" s="33" t="str">
        <f t="shared" si="1"/>
        <v>Alto</v>
      </c>
      <c r="M239" s="38" t="str">
        <f t="shared" si="2"/>
        <v>Aceito</v>
      </c>
      <c r="N239" s="38" t="str">
        <f t="shared" si="3"/>
        <v>Positiva</v>
      </c>
      <c r="O239" s="39">
        <v>74500.0</v>
      </c>
      <c r="P239" s="35">
        <f t="shared" si="4"/>
        <v>0</v>
      </c>
      <c r="Q239" s="33">
        <f t="shared" si="5"/>
        <v>1</v>
      </c>
    </row>
    <row r="240">
      <c r="A240" s="26" t="s">
        <v>71</v>
      </c>
      <c r="B240" s="26" t="s">
        <v>839</v>
      </c>
      <c r="C240" s="27">
        <v>27100.0</v>
      </c>
      <c r="D240" s="28">
        <v>56.0</v>
      </c>
      <c r="E240" s="29">
        <v>25895.0</v>
      </c>
      <c r="F240" s="26" t="s">
        <v>115</v>
      </c>
      <c r="G240" s="26" t="s">
        <v>117</v>
      </c>
      <c r="H240" s="30">
        <v>6800.0</v>
      </c>
      <c r="I240" s="30">
        <v>12000.0</v>
      </c>
      <c r="J240" s="28" t="s">
        <v>31</v>
      </c>
      <c r="K240" s="28">
        <v>6.0</v>
      </c>
      <c r="L240" s="26" t="str">
        <f t="shared" si="1"/>
        <v>Baixo</v>
      </c>
      <c r="M240" s="31" t="str">
        <f t="shared" si="2"/>
        <v>Aceito</v>
      </c>
      <c r="N240" s="31" t="str">
        <f t="shared" si="3"/>
        <v>Positiva</v>
      </c>
      <c r="O240" s="32">
        <v>11000.0</v>
      </c>
      <c r="P240" s="32">
        <f t="shared" si="4"/>
        <v>11880</v>
      </c>
      <c r="Q240" s="26">
        <f t="shared" si="5"/>
        <v>1</v>
      </c>
    </row>
    <row r="241">
      <c r="A241" s="33" t="s">
        <v>71</v>
      </c>
      <c r="B241" s="33" t="s">
        <v>841</v>
      </c>
      <c r="C241" s="34" t="s">
        <v>842</v>
      </c>
      <c r="D241" s="35">
        <v>25.0</v>
      </c>
      <c r="E241" s="36">
        <v>37026.0</v>
      </c>
      <c r="F241" s="33" t="s">
        <v>428</v>
      </c>
      <c r="G241" s="33" t="s">
        <v>79</v>
      </c>
      <c r="H241" s="37">
        <v>28200.0</v>
      </c>
      <c r="I241" s="37">
        <v>0.0</v>
      </c>
      <c r="J241" s="35" t="s">
        <v>31</v>
      </c>
      <c r="K241" s="35">
        <v>29.0</v>
      </c>
      <c r="L241" s="33" t="str">
        <f t="shared" si="1"/>
        <v>Alto</v>
      </c>
      <c r="M241" s="38" t="str">
        <f t="shared" si="2"/>
        <v>Aceito</v>
      </c>
      <c r="N241" s="38" t="str">
        <f t="shared" si="3"/>
        <v>Positiva</v>
      </c>
      <c r="O241" s="39">
        <v>92500.0</v>
      </c>
      <c r="P241" s="39">
        <f t="shared" si="4"/>
        <v>99900</v>
      </c>
      <c r="Q241" s="33">
        <f t="shared" si="5"/>
        <v>1</v>
      </c>
    </row>
    <row r="242">
      <c r="A242" s="26" t="s">
        <v>71</v>
      </c>
      <c r="B242" s="26" t="s">
        <v>517</v>
      </c>
      <c r="C242" s="27">
        <v>34900.0</v>
      </c>
      <c r="D242" s="28">
        <v>32.0</v>
      </c>
      <c r="E242" s="29">
        <v>34387.0</v>
      </c>
      <c r="F242" s="26" t="s">
        <v>203</v>
      </c>
      <c r="G242" s="26" t="s">
        <v>205</v>
      </c>
      <c r="H242" s="30">
        <v>20500.0</v>
      </c>
      <c r="I242" s="30">
        <v>0.0</v>
      </c>
      <c r="J242" s="28" t="s">
        <v>31</v>
      </c>
      <c r="K242" s="28">
        <v>41.0</v>
      </c>
      <c r="L242" s="26" t="str">
        <f t="shared" si="1"/>
        <v>Alto</v>
      </c>
      <c r="M242" s="31" t="str">
        <f t="shared" si="2"/>
        <v>Aceito</v>
      </c>
      <c r="N242" s="31" t="str">
        <f t="shared" si="3"/>
        <v>Positiva</v>
      </c>
      <c r="O242" s="32">
        <v>54500.0</v>
      </c>
      <c r="P242" s="32">
        <f t="shared" si="4"/>
        <v>58860</v>
      </c>
      <c r="Q242" s="26">
        <f t="shared" si="5"/>
        <v>1</v>
      </c>
    </row>
    <row r="243">
      <c r="A243" s="33" t="s">
        <v>71</v>
      </c>
      <c r="B243" s="33" t="s">
        <v>845</v>
      </c>
      <c r="C243" s="34" t="s">
        <v>846</v>
      </c>
      <c r="D243" s="35">
        <v>54.0</v>
      </c>
      <c r="E243" s="36">
        <v>26620.0</v>
      </c>
      <c r="F243" s="33" t="s">
        <v>74</v>
      </c>
      <c r="G243" s="33" t="s">
        <v>75</v>
      </c>
      <c r="H243" s="37">
        <v>21300.0</v>
      </c>
      <c r="I243" s="37">
        <v>79500.0</v>
      </c>
      <c r="J243" s="35" t="s">
        <v>31</v>
      </c>
      <c r="K243" s="35">
        <v>18.0</v>
      </c>
      <c r="L243" s="33" t="str">
        <f t="shared" si="1"/>
        <v>Médio</v>
      </c>
      <c r="M243" s="38" t="str">
        <f t="shared" si="2"/>
        <v>Aceito</v>
      </c>
      <c r="N243" s="38" t="str">
        <f t="shared" si="3"/>
        <v>Positiva</v>
      </c>
      <c r="O243" s="39">
        <v>19000.0</v>
      </c>
      <c r="P243" s="39">
        <f t="shared" si="4"/>
        <v>20520</v>
      </c>
      <c r="Q243" s="33">
        <f t="shared" si="5"/>
        <v>1</v>
      </c>
    </row>
    <row r="244">
      <c r="A244" s="26" t="s">
        <v>76</v>
      </c>
      <c r="B244" s="26" t="s">
        <v>848</v>
      </c>
      <c r="C244" s="27" t="s">
        <v>849</v>
      </c>
      <c r="D244" s="28">
        <v>69.0</v>
      </c>
      <c r="E244" s="29">
        <v>20884.0</v>
      </c>
      <c r="F244" s="26" t="s">
        <v>1040</v>
      </c>
      <c r="G244" s="26" t="s">
        <v>340</v>
      </c>
      <c r="H244" s="30">
        <v>13800.0</v>
      </c>
      <c r="I244" s="30">
        <v>62000.0</v>
      </c>
      <c r="J244" s="28" t="s">
        <v>31</v>
      </c>
      <c r="K244" s="28">
        <v>31.0</v>
      </c>
      <c r="L244" s="26" t="str">
        <f t="shared" si="1"/>
        <v>Alto</v>
      </c>
      <c r="M244" s="31" t="str">
        <f t="shared" si="2"/>
        <v>Aceito</v>
      </c>
      <c r="N244" s="31" t="str">
        <f t="shared" si="3"/>
        <v>Positiva</v>
      </c>
      <c r="O244" s="32">
        <v>60500.0</v>
      </c>
      <c r="P244" s="28">
        <f t="shared" si="4"/>
        <v>0</v>
      </c>
      <c r="Q244" s="26">
        <f t="shared" si="5"/>
        <v>1</v>
      </c>
    </row>
    <row r="245">
      <c r="A245" s="33" t="s">
        <v>76</v>
      </c>
      <c r="B245" s="33" t="s">
        <v>850</v>
      </c>
      <c r="C245" s="34" t="s">
        <v>851</v>
      </c>
      <c r="D245" s="35">
        <v>27.0</v>
      </c>
      <c r="E245" s="36">
        <v>36316.0</v>
      </c>
      <c r="F245" s="33" t="s">
        <v>221</v>
      </c>
      <c r="G245" s="33" t="s">
        <v>222</v>
      </c>
      <c r="H245" s="37">
        <v>10700.0</v>
      </c>
      <c r="I245" s="37">
        <v>60000.0</v>
      </c>
      <c r="J245" s="35" t="s">
        <v>31</v>
      </c>
      <c r="K245" s="35">
        <v>44.0</v>
      </c>
      <c r="L245" s="33" t="str">
        <f t="shared" si="1"/>
        <v>Alto</v>
      </c>
      <c r="M245" s="38" t="str">
        <f t="shared" si="2"/>
        <v>Aceito</v>
      </c>
      <c r="N245" s="38" t="str">
        <f t="shared" si="3"/>
        <v>Positiva</v>
      </c>
      <c r="O245" s="39">
        <v>48000.0</v>
      </c>
      <c r="P245" s="35">
        <f t="shared" si="4"/>
        <v>0</v>
      </c>
      <c r="Q245" s="33">
        <f t="shared" si="5"/>
        <v>1</v>
      </c>
    </row>
    <row r="246">
      <c r="A246" s="26" t="s">
        <v>76</v>
      </c>
      <c r="B246" s="26" t="s">
        <v>854</v>
      </c>
      <c r="C246" s="27">
        <v>19300.0</v>
      </c>
      <c r="D246" s="28">
        <v>74.0</v>
      </c>
      <c r="E246" s="29">
        <v>19131.0</v>
      </c>
      <c r="F246" s="26" t="s">
        <v>316</v>
      </c>
      <c r="G246" s="26" t="s">
        <v>83</v>
      </c>
      <c r="H246" s="30">
        <v>20700.0</v>
      </c>
      <c r="I246" s="30">
        <v>17500.0</v>
      </c>
      <c r="J246" s="28" t="s">
        <v>31</v>
      </c>
      <c r="K246" s="28">
        <v>35.0</v>
      </c>
      <c r="L246" s="26" t="str">
        <f t="shared" si="1"/>
        <v>Alto</v>
      </c>
      <c r="M246" s="31" t="str">
        <f t="shared" si="2"/>
        <v>Aceito</v>
      </c>
      <c r="N246" s="31" t="str">
        <f t="shared" si="3"/>
        <v>Positiva</v>
      </c>
      <c r="O246" s="32">
        <v>65000.0</v>
      </c>
      <c r="P246" s="28">
        <f t="shared" si="4"/>
        <v>0</v>
      </c>
      <c r="Q246" s="26">
        <f t="shared" si="5"/>
        <v>1</v>
      </c>
    </row>
    <row r="247">
      <c r="A247" s="33" t="s">
        <v>71</v>
      </c>
      <c r="B247" s="33" t="s">
        <v>857</v>
      </c>
      <c r="C247" s="34" t="s">
        <v>858</v>
      </c>
      <c r="D247" s="35">
        <v>19.0</v>
      </c>
      <c r="E247" s="36">
        <v>39230.0</v>
      </c>
      <c r="F247" s="33" t="s">
        <v>258</v>
      </c>
      <c r="G247" s="33" t="s">
        <v>222</v>
      </c>
      <c r="H247" s="37">
        <v>18000.0</v>
      </c>
      <c r="I247" s="37">
        <v>49.5</v>
      </c>
      <c r="J247" s="35" t="s">
        <v>31</v>
      </c>
      <c r="K247" s="35">
        <v>25.0</v>
      </c>
      <c r="L247" s="33" t="str">
        <f t="shared" si="1"/>
        <v>Médio</v>
      </c>
      <c r="M247" s="38" t="str">
        <f t="shared" si="2"/>
        <v>Aceito</v>
      </c>
      <c r="N247" s="38" t="str">
        <f t="shared" si="3"/>
        <v>Positiva</v>
      </c>
      <c r="O247" s="39">
        <v>46500.0</v>
      </c>
      <c r="P247" s="39">
        <f t="shared" si="4"/>
        <v>50220</v>
      </c>
      <c r="Q247" s="33">
        <f t="shared" si="5"/>
        <v>1</v>
      </c>
    </row>
    <row r="248">
      <c r="A248" s="26" t="s">
        <v>71</v>
      </c>
      <c r="B248" s="26" t="s">
        <v>796</v>
      </c>
      <c r="C248" s="27" t="s">
        <v>797</v>
      </c>
      <c r="D248" s="28">
        <v>26.0</v>
      </c>
      <c r="E248" s="29">
        <v>36540.0</v>
      </c>
      <c r="F248" s="26" t="s">
        <v>82</v>
      </c>
      <c r="G248" s="26" t="s">
        <v>83</v>
      </c>
      <c r="H248" s="30">
        <v>24000.0</v>
      </c>
      <c r="I248" s="30">
        <v>52000.0</v>
      </c>
      <c r="J248" s="28" t="s">
        <v>31</v>
      </c>
      <c r="K248" s="28">
        <v>30.0</v>
      </c>
      <c r="L248" s="26" t="str">
        <f t="shared" si="1"/>
        <v>Alto</v>
      </c>
      <c r="M248" s="31" t="str">
        <f t="shared" si="2"/>
        <v>Aceito</v>
      </c>
      <c r="N248" s="31" t="str">
        <f t="shared" si="3"/>
        <v>Positiva</v>
      </c>
      <c r="O248" s="32">
        <v>11500.0</v>
      </c>
      <c r="P248" s="32">
        <f t="shared" si="4"/>
        <v>12420</v>
      </c>
      <c r="Q248" s="26">
        <f t="shared" si="5"/>
        <v>1</v>
      </c>
    </row>
    <row r="249">
      <c r="A249" s="33" t="s">
        <v>71</v>
      </c>
      <c r="B249" s="33" t="s">
        <v>860</v>
      </c>
      <c r="C249" s="34" t="s">
        <v>861</v>
      </c>
      <c r="D249" s="35">
        <v>48.0</v>
      </c>
      <c r="E249" s="36">
        <v>28841.0</v>
      </c>
      <c r="F249" s="33" t="s">
        <v>270</v>
      </c>
      <c r="G249" s="33" t="s">
        <v>270</v>
      </c>
      <c r="H249" s="37">
        <v>21300.0</v>
      </c>
      <c r="I249" s="37">
        <v>62.0</v>
      </c>
      <c r="J249" s="35" t="s">
        <v>32</v>
      </c>
      <c r="K249" s="35">
        <v>37.0</v>
      </c>
      <c r="L249" s="33" t="str">
        <f t="shared" si="1"/>
        <v>Alto</v>
      </c>
      <c r="M249" s="38" t="str">
        <f t="shared" si="2"/>
        <v>Negado</v>
      </c>
      <c r="N249" s="38" t="str">
        <f t="shared" si="3"/>
        <v>Positiva</v>
      </c>
      <c r="O249" s="39">
        <v>92500.0</v>
      </c>
      <c r="P249" s="39">
        <f t="shared" si="4"/>
        <v>99900</v>
      </c>
      <c r="Q249" s="33">
        <f t="shared" si="5"/>
        <v>1</v>
      </c>
    </row>
    <row r="250">
      <c r="A250" s="26" t="s">
        <v>76</v>
      </c>
      <c r="B250" s="26" t="s">
        <v>864</v>
      </c>
      <c r="C250" s="27" t="s">
        <v>865</v>
      </c>
      <c r="D250" s="28">
        <v>34.0</v>
      </c>
      <c r="E250" s="29">
        <v>33746.0</v>
      </c>
      <c r="F250" s="26" t="s">
        <v>270</v>
      </c>
      <c r="G250" s="26" t="s">
        <v>270</v>
      </c>
      <c r="H250" s="30">
        <v>28900.0</v>
      </c>
      <c r="I250" s="30">
        <v>37000.0</v>
      </c>
      <c r="J250" s="28" t="s">
        <v>31</v>
      </c>
      <c r="K250" s="28">
        <v>21.0</v>
      </c>
      <c r="L250" s="26" t="str">
        <f t="shared" si="1"/>
        <v>Médio</v>
      </c>
      <c r="M250" s="31" t="str">
        <f t="shared" si="2"/>
        <v>Aceito</v>
      </c>
      <c r="N250" s="31" t="str">
        <f t="shared" si="3"/>
        <v>Positiva</v>
      </c>
      <c r="O250" s="32">
        <v>97500.0</v>
      </c>
      <c r="P250" s="28">
        <f t="shared" si="4"/>
        <v>0</v>
      </c>
      <c r="Q250" s="26">
        <f t="shared" si="5"/>
        <v>1</v>
      </c>
    </row>
    <row r="251">
      <c r="A251" s="33" t="s">
        <v>71</v>
      </c>
      <c r="B251" s="33" t="s">
        <v>866</v>
      </c>
      <c r="C251" s="34" t="s">
        <v>867</v>
      </c>
      <c r="D251" s="35">
        <v>30.0</v>
      </c>
      <c r="E251" s="36">
        <v>35180.0</v>
      </c>
      <c r="F251" s="33" t="s">
        <v>234</v>
      </c>
      <c r="G251" s="33" t="s">
        <v>205</v>
      </c>
      <c r="H251" s="37">
        <v>13800.0</v>
      </c>
      <c r="I251" s="37">
        <v>42000.0</v>
      </c>
      <c r="J251" s="35" t="s">
        <v>109</v>
      </c>
      <c r="K251" s="35">
        <v>29.0</v>
      </c>
      <c r="L251" s="33" t="str">
        <f t="shared" si="1"/>
        <v>Alto</v>
      </c>
      <c r="M251" s="38" t="str">
        <f t="shared" si="2"/>
        <v>Aceito</v>
      </c>
      <c r="N251" s="38" t="str">
        <f t="shared" si="3"/>
        <v>Positiva</v>
      </c>
      <c r="O251" s="39">
        <v>7000.0</v>
      </c>
      <c r="P251" s="39">
        <f t="shared" si="4"/>
        <v>7560</v>
      </c>
      <c r="Q251" s="33">
        <f t="shared" si="5"/>
        <v>1</v>
      </c>
    </row>
    <row r="252">
      <c r="A252" s="26" t="s">
        <v>76</v>
      </c>
      <c r="B252" s="26" t="s">
        <v>870</v>
      </c>
      <c r="C252" s="27" t="s">
        <v>871</v>
      </c>
      <c r="D252" s="28">
        <v>67.0</v>
      </c>
      <c r="E252" s="29">
        <v>21645.0</v>
      </c>
      <c r="F252" s="26" t="s">
        <v>342</v>
      </c>
      <c r="G252" s="26" t="s">
        <v>437</v>
      </c>
      <c r="H252" s="30">
        <v>15200.0</v>
      </c>
      <c r="I252" s="30">
        <v>67500.0</v>
      </c>
      <c r="J252" s="28" t="s">
        <v>31</v>
      </c>
      <c r="K252" s="28">
        <v>12.0</v>
      </c>
      <c r="L252" s="26" t="str">
        <f t="shared" si="1"/>
        <v>Médio</v>
      </c>
      <c r="M252" s="31" t="str">
        <f t="shared" si="2"/>
        <v>Aceito</v>
      </c>
      <c r="N252" s="31" t="str">
        <f t="shared" si="3"/>
        <v>Positiva</v>
      </c>
      <c r="O252" s="32">
        <v>97500.0</v>
      </c>
      <c r="P252" s="28">
        <f t="shared" si="4"/>
        <v>0</v>
      </c>
      <c r="Q252" s="26">
        <f t="shared" si="5"/>
        <v>1</v>
      </c>
    </row>
    <row r="253">
      <c r="A253" s="33" t="s">
        <v>71</v>
      </c>
      <c r="B253" s="33" t="s">
        <v>872</v>
      </c>
      <c r="C253" s="34" t="s">
        <v>873</v>
      </c>
      <c r="D253" s="35">
        <v>59.0</v>
      </c>
      <c r="E253" s="36">
        <v>24578.0</v>
      </c>
      <c r="F253" s="33" t="s">
        <v>342</v>
      </c>
      <c r="G253" s="33" t="s">
        <v>437</v>
      </c>
      <c r="H253" s="37">
        <v>6600.0</v>
      </c>
      <c r="I253" s="37">
        <v>50000.0</v>
      </c>
      <c r="J253" s="35" t="s">
        <v>32</v>
      </c>
      <c r="K253" s="35">
        <v>9.0</v>
      </c>
      <c r="L253" s="33" t="str">
        <f t="shared" si="1"/>
        <v>Baixo</v>
      </c>
      <c r="M253" s="38" t="str">
        <f t="shared" si="2"/>
        <v>Aceito</v>
      </c>
      <c r="N253" s="38" t="str">
        <f t="shared" si="3"/>
        <v>Positiva</v>
      </c>
      <c r="O253" s="39">
        <v>25000.0</v>
      </c>
      <c r="P253" s="39">
        <f t="shared" si="4"/>
        <v>27000</v>
      </c>
      <c r="Q253" s="33">
        <f t="shared" si="5"/>
        <v>1</v>
      </c>
    </row>
    <row r="254">
      <c r="A254" s="26" t="s">
        <v>76</v>
      </c>
      <c r="B254" s="26" t="s">
        <v>875</v>
      </c>
      <c r="C254" s="27">
        <v>24300.0</v>
      </c>
      <c r="D254" s="28">
        <v>25.0</v>
      </c>
      <c r="E254" s="29">
        <v>37131.0</v>
      </c>
      <c r="F254" s="26" t="s">
        <v>93</v>
      </c>
      <c r="G254" s="26" t="s">
        <v>94</v>
      </c>
      <c r="H254" s="30">
        <v>24500.0</v>
      </c>
      <c r="I254" s="30" t="s">
        <v>84</v>
      </c>
      <c r="J254" s="28" t="s">
        <v>109</v>
      </c>
      <c r="K254" s="28">
        <v>0.0</v>
      </c>
      <c r="L254" s="26" t="str">
        <f t="shared" si="1"/>
        <v>Baixo</v>
      </c>
      <c r="M254" s="31" t="str">
        <f t="shared" si="2"/>
        <v>Aceito</v>
      </c>
      <c r="N254" s="31" t="str">
        <f t="shared" si="3"/>
        <v>Positiva</v>
      </c>
      <c r="O254" s="32">
        <v>55000.0</v>
      </c>
      <c r="P254" s="28">
        <f t="shared" si="4"/>
        <v>0</v>
      </c>
      <c r="Q254" s="26">
        <f t="shared" si="5"/>
        <v>1</v>
      </c>
    </row>
    <row r="255">
      <c r="A255" s="33" t="s">
        <v>71</v>
      </c>
      <c r="B255" s="33" t="s">
        <v>877</v>
      </c>
      <c r="C255" s="34" t="s">
        <v>878</v>
      </c>
      <c r="D255" s="35">
        <v>37.0</v>
      </c>
      <c r="E255" s="36">
        <v>32796.0</v>
      </c>
      <c r="F255" s="33" t="s">
        <v>82</v>
      </c>
      <c r="G255" s="33" t="s">
        <v>83</v>
      </c>
      <c r="H255" s="37">
        <v>28600.0</v>
      </c>
      <c r="I255" s="37" t="s">
        <v>84</v>
      </c>
      <c r="J255" s="35" t="s">
        <v>31</v>
      </c>
      <c r="K255" s="35">
        <v>19.0</v>
      </c>
      <c r="L255" s="33" t="str">
        <f t="shared" si="1"/>
        <v>Médio</v>
      </c>
      <c r="M255" s="38" t="str">
        <f t="shared" si="2"/>
        <v>Aceito</v>
      </c>
      <c r="N255" s="38" t="str">
        <f t="shared" si="3"/>
        <v>Positiva</v>
      </c>
      <c r="O255" s="39">
        <v>90000.0</v>
      </c>
      <c r="P255" s="39">
        <f t="shared" si="4"/>
        <v>97200</v>
      </c>
      <c r="Q255" s="33">
        <f t="shared" si="5"/>
        <v>1</v>
      </c>
    </row>
    <row r="256">
      <c r="A256" s="26" t="s">
        <v>71</v>
      </c>
      <c r="B256" s="26" t="s">
        <v>1168</v>
      </c>
      <c r="C256" s="27" t="s">
        <v>880</v>
      </c>
      <c r="D256" s="28">
        <v>36.0</v>
      </c>
      <c r="E256" s="29">
        <v>32914.0</v>
      </c>
      <c r="F256" s="26" t="s">
        <v>342</v>
      </c>
      <c r="G256" s="26" t="s">
        <v>437</v>
      </c>
      <c r="H256" s="30">
        <v>27600.0</v>
      </c>
      <c r="I256" s="30">
        <v>37000.0</v>
      </c>
      <c r="J256" s="28" t="s">
        <v>31</v>
      </c>
      <c r="K256" s="28">
        <v>15.0</v>
      </c>
      <c r="L256" s="26" t="str">
        <f t="shared" si="1"/>
        <v>Médio</v>
      </c>
      <c r="M256" s="31" t="str">
        <f t="shared" si="2"/>
        <v>Aceito</v>
      </c>
      <c r="N256" s="31" t="str">
        <f t="shared" si="3"/>
        <v>Positiva</v>
      </c>
      <c r="O256" s="32">
        <v>41500.0</v>
      </c>
      <c r="P256" s="32">
        <f t="shared" si="4"/>
        <v>44820</v>
      </c>
      <c r="Q256" s="26">
        <f t="shared" si="5"/>
        <v>1</v>
      </c>
    </row>
    <row r="257">
      <c r="A257" s="33" t="s">
        <v>71</v>
      </c>
      <c r="B257" s="33" t="s">
        <v>881</v>
      </c>
      <c r="C257" s="34">
        <v>17100.0</v>
      </c>
      <c r="D257" s="35">
        <v>46.0</v>
      </c>
      <c r="E257" s="36">
        <v>29506.0</v>
      </c>
      <c r="F257" s="33" t="s">
        <v>428</v>
      </c>
      <c r="G257" s="33" t="s">
        <v>79</v>
      </c>
      <c r="H257" s="37">
        <v>5100.0</v>
      </c>
      <c r="I257" s="37">
        <v>25000.0</v>
      </c>
      <c r="J257" s="35" t="s">
        <v>31</v>
      </c>
      <c r="K257" s="35">
        <v>29.0</v>
      </c>
      <c r="L257" s="33" t="str">
        <f t="shared" si="1"/>
        <v>Alto</v>
      </c>
      <c r="M257" s="38" t="str">
        <f t="shared" si="2"/>
        <v>Aceito</v>
      </c>
      <c r="N257" s="38" t="str">
        <f t="shared" si="3"/>
        <v>Positiva</v>
      </c>
      <c r="O257" s="39">
        <v>88000.0</v>
      </c>
      <c r="P257" s="39">
        <f t="shared" si="4"/>
        <v>95040</v>
      </c>
      <c r="Q257" s="33">
        <f t="shared" si="5"/>
        <v>1</v>
      </c>
    </row>
    <row r="258">
      <c r="A258" s="26" t="s">
        <v>71</v>
      </c>
      <c r="B258" s="26" t="s">
        <v>882</v>
      </c>
      <c r="C258" s="27" t="s">
        <v>883</v>
      </c>
      <c r="D258" s="28">
        <v>57.0</v>
      </c>
      <c r="E258" s="29">
        <v>25551.0</v>
      </c>
      <c r="F258" s="26" t="s">
        <v>270</v>
      </c>
      <c r="G258" s="26" t="s">
        <v>270</v>
      </c>
      <c r="H258" s="30">
        <v>22600.0</v>
      </c>
      <c r="I258" s="30">
        <v>63000.0</v>
      </c>
      <c r="J258" s="28" t="s">
        <v>31</v>
      </c>
      <c r="K258" s="28">
        <v>33.0</v>
      </c>
      <c r="L258" s="26" t="str">
        <f t="shared" si="1"/>
        <v>Alto</v>
      </c>
      <c r="M258" s="31" t="str">
        <f t="shared" si="2"/>
        <v>Aceito</v>
      </c>
      <c r="N258" s="31" t="str">
        <f t="shared" si="3"/>
        <v>Positiva</v>
      </c>
      <c r="O258" s="32">
        <v>53000.0</v>
      </c>
      <c r="P258" s="32">
        <f t="shared" si="4"/>
        <v>57240</v>
      </c>
      <c r="Q258" s="26">
        <f t="shared" si="5"/>
        <v>1</v>
      </c>
    </row>
    <row r="259">
      <c r="A259" s="33" t="s">
        <v>76</v>
      </c>
      <c r="B259" s="33" t="s">
        <v>1169</v>
      </c>
      <c r="C259" s="34" t="s">
        <v>885</v>
      </c>
      <c r="D259" s="35">
        <v>47.0</v>
      </c>
      <c r="E259" s="36">
        <v>28861.0</v>
      </c>
      <c r="F259" s="33" t="s">
        <v>115</v>
      </c>
      <c r="G259" s="33" t="s">
        <v>117</v>
      </c>
      <c r="H259" s="37">
        <v>5000.0</v>
      </c>
      <c r="I259" s="37">
        <v>75.5</v>
      </c>
      <c r="J259" s="35" t="s">
        <v>32</v>
      </c>
      <c r="K259" s="35">
        <v>2.0</v>
      </c>
      <c r="L259" s="33" t="str">
        <f t="shared" si="1"/>
        <v>Baixo</v>
      </c>
      <c r="M259" s="38" t="str">
        <f t="shared" si="2"/>
        <v>Aceito</v>
      </c>
      <c r="N259" s="38" t="str">
        <f t="shared" si="3"/>
        <v>Positiva</v>
      </c>
      <c r="O259" s="39">
        <v>89500.0</v>
      </c>
      <c r="P259" s="35">
        <f t="shared" si="4"/>
        <v>0</v>
      </c>
      <c r="Q259" s="33">
        <f t="shared" si="5"/>
        <v>1</v>
      </c>
    </row>
    <row r="260">
      <c r="A260" s="26" t="s">
        <v>71</v>
      </c>
      <c r="B260" s="26" t="s">
        <v>247</v>
      </c>
      <c r="C260" s="27" t="s">
        <v>886</v>
      </c>
      <c r="D260" s="28">
        <v>44.0</v>
      </c>
      <c r="E260" s="29">
        <v>30069.0</v>
      </c>
      <c r="F260" s="26" t="s">
        <v>193</v>
      </c>
      <c r="G260" s="26" t="s">
        <v>195</v>
      </c>
      <c r="H260" s="30">
        <v>21700.0</v>
      </c>
      <c r="I260" s="30">
        <v>34500.0</v>
      </c>
      <c r="J260" s="28" t="s">
        <v>31</v>
      </c>
      <c r="K260" s="28">
        <v>29.0</v>
      </c>
      <c r="L260" s="26" t="str">
        <f t="shared" si="1"/>
        <v>Alto</v>
      </c>
      <c r="M260" s="31" t="str">
        <f t="shared" si="2"/>
        <v>Aceito</v>
      </c>
      <c r="N260" s="31" t="str">
        <f t="shared" si="3"/>
        <v>Positiva</v>
      </c>
      <c r="O260" s="32">
        <v>10500.0</v>
      </c>
      <c r="P260" s="32">
        <f t="shared" si="4"/>
        <v>11340</v>
      </c>
      <c r="Q260" s="26">
        <f t="shared" si="5"/>
        <v>1</v>
      </c>
    </row>
    <row r="261">
      <c r="A261" s="33" t="s">
        <v>71</v>
      </c>
      <c r="B261" s="33" t="s">
        <v>888</v>
      </c>
      <c r="C261" s="34">
        <v>15900.0</v>
      </c>
      <c r="D261" s="35">
        <v>27.0</v>
      </c>
      <c r="E261" s="36">
        <v>36381.0</v>
      </c>
      <c r="F261" s="33" t="s">
        <v>193</v>
      </c>
      <c r="G261" s="33" t="s">
        <v>195</v>
      </c>
      <c r="H261" s="37">
        <v>9200.0</v>
      </c>
      <c r="I261" s="37">
        <v>68500.0</v>
      </c>
      <c r="J261" s="35" t="s">
        <v>31</v>
      </c>
      <c r="K261" s="35">
        <v>27.0</v>
      </c>
      <c r="L261" s="33" t="str">
        <f t="shared" si="1"/>
        <v>Alto</v>
      </c>
      <c r="M261" s="38" t="str">
        <f t="shared" si="2"/>
        <v>Aceito</v>
      </c>
      <c r="N261" s="38" t="str">
        <f t="shared" si="3"/>
        <v>Positiva</v>
      </c>
      <c r="O261" s="39">
        <v>7000.0</v>
      </c>
      <c r="P261" s="39">
        <f t="shared" si="4"/>
        <v>7560</v>
      </c>
      <c r="Q261" s="33">
        <f t="shared" si="5"/>
        <v>1</v>
      </c>
    </row>
    <row r="262">
      <c r="A262" s="26" t="s">
        <v>71</v>
      </c>
      <c r="B262" s="26" t="s">
        <v>1170</v>
      </c>
      <c r="C262" s="27" t="s">
        <v>892</v>
      </c>
      <c r="D262" s="28">
        <v>49.0</v>
      </c>
      <c r="E262" s="29">
        <v>28404.0</v>
      </c>
      <c r="F262" s="26" t="s">
        <v>100</v>
      </c>
      <c r="G262" s="26" t="s">
        <v>88</v>
      </c>
      <c r="H262" s="30">
        <v>21900.0</v>
      </c>
      <c r="I262" s="30">
        <v>69000.0</v>
      </c>
      <c r="J262" s="28" t="s">
        <v>31</v>
      </c>
      <c r="K262" s="28">
        <v>4.0</v>
      </c>
      <c r="L262" s="26" t="str">
        <f t="shared" si="1"/>
        <v>Baixo</v>
      </c>
      <c r="M262" s="31" t="str">
        <f t="shared" si="2"/>
        <v>Aceito</v>
      </c>
      <c r="N262" s="31" t="str">
        <f t="shared" si="3"/>
        <v>Positiva</v>
      </c>
      <c r="O262" s="32">
        <v>80500.0</v>
      </c>
      <c r="P262" s="32">
        <f t="shared" si="4"/>
        <v>86940</v>
      </c>
      <c r="Q262" s="26">
        <f t="shared" si="5"/>
        <v>1</v>
      </c>
    </row>
    <row r="263">
      <c r="A263" s="33" t="s">
        <v>71</v>
      </c>
      <c r="B263" s="33" t="s">
        <v>894</v>
      </c>
      <c r="C263" s="34" t="s">
        <v>895</v>
      </c>
      <c r="D263" s="35">
        <v>71.0</v>
      </c>
      <c r="E263" s="36">
        <v>20187.0</v>
      </c>
      <c r="F263" s="33" t="s">
        <v>136</v>
      </c>
      <c r="G263" s="33" t="s">
        <v>117</v>
      </c>
      <c r="H263" s="37">
        <v>29200.0</v>
      </c>
      <c r="I263" s="37">
        <v>73500.0</v>
      </c>
      <c r="J263" s="35" t="s">
        <v>31</v>
      </c>
      <c r="K263" s="35">
        <v>2.0</v>
      </c>
      <c r="L263" s="33" t="str">
        <f t="shared" si="1"/>
        <v>Baixo</v>
      </c>
      <c r="M263" s="38" t="str">
        <f t="shared" si="2"/>
        <v>Aceito</v>
      </c>
      <c r="N263" s="38" t="str">
        <f t="shared" si="3"/>
        <v>Positiva</v>
      </c>
      <c r="O263" s="39">
        <v>33000.0</v>
      </c>
      <c r="P263" s="39">
        <f t="shared" si="4"/>
        <v>35640</v>
      </c>
      <c r="Q263" s="33">
        <f t="shared" si="5"/>
        <v>1</v>
      </c>
    </row>
    <row r="264">
      <c r="A264" s="26" t="s">
        <v>71</v>
      </c>
      <c r="B264" s="26" t="s">
        <v>896</v>
      </c>
      <c r="C264" s="27" t="s">
        <v>897</v>
      </c>
      <c r="D264" s="28">
        <v>65.0</v>
      </c>
      <c r="E264" s="29">
        <v>22314.0</v>
      </c>
      <c r="F264" s="26" t="s">
        <v>78</v>
      </c>
      <c r="G264" s="26" t="s">
        <v>79</v>
      </c>
      <c r="H264" s="30">
        <v>6100.0</v>
      </c>
      <c r="I264" s="30">
        <v>40000.0</v>
      </c>
      <c r="J264" s="28" t="s">
        <v>31</v>
      </c>
      <c r="K264" s="28">
        <v>13.0</v>
      </c>
      <c r="L264" s="26" t="str">
        <f t="shared" si="1"/>
        <v>Médio</v>
      </c>
      <c r="M264" s="31" t="str">
        <f t="shared" si="2"/>
        <v>Aceito</v>
      </c>
      <c r="N264" s="31" t="str">
        <f t="shared" si="3"/>
        <v>Positiva</v>
      </c>
      <c r="O264" s="32">
        <v>22500.0</v>
      </c>
      <c r="P264" s="32">
        <f t="shared" si="4"/>
        <v>24300</v>
      </c>
      <c r="Q264" s="26">
        <f t="shared" si="5"/>
        <v>1</v>
      </c>
    </row>
    <row r="265">
      <c r="A265" s="33" t="s">
        <v>71</v>
      </c>
      <c r="B265" s="33" t="s">
        <v>899</v>
      </c>
      <c r="C265" s="34" t="s">
        <v>900</v>
      </c>
      <c r="D265" s="35">
        <v>65.0</v>
      </c>
      <c r="E265" s="36">
        <v>22297.0</v>
      </c>
      <c r="F265" s="33" t="s">
        <v>93</v>
      </c>
      <c r="G265" s="33" t="s">
        <v>94</v>
      </c>
      <c r="H265" s="37">
        <v>27300.0</v>
      </c>
      <c r="I265" s="37">
        <v>48500.0</v>
      </c>
      <c r="J265" s="35" t="s">
        <v>31</v>
      </c>
      <c r="K265" s="35">
        <v>29.0</v>
      </c>
      <c r="L265" s="33" t="str">
        <f t="shared" si="1"/>
        <v>Alto</v>
      </c>
      <c r="M265" s="38" t="str">
        <f t="shared" si="2"/>
        <v>Aceito</v>
      </c>
      <c r="N265" s="38" t="str">
        <f t="shared" si="3"/>
        <v>Positiva</v>
      </c>
      <c r="O265" s="39">
        <v>94000.0</v>
      </c>
      <c r="P265" s="39">
        <f t="shared" si="4"/>
        <v>101520</v>
      </c>
      <c r="Q265" s="33">
        <f t="shared" si="5"/>
        <v>1</v>
      </c>
    </row>
    <row r="266">
      <c r="A266" s="26" t="s">
        <v>71</v>
      </c>
      <c r="B266" s="26" t="s">
        <v>901</v>
      </c>
      <c r="C266" s="27" t="s">
        <v>902</v>
      </c>
      <c r="D266" s="28">
        <v>57.0</v>
      </c>
      <c r="E266" s="29">
        <v>25350.0</v>
      </c>
      <c r="F266" s="26" t="s">
        <v>253</v>
      </c>
      <c r="G266" s="26" t="s">
        <v>195</v>
      </c>
      <c r="H266" s="30">
        <v>20600.0</v>
      </c>
      <c r="I266" s="30">
        <v>52500.0</v>
      </c>
      <c r="J266" s="28" t="s">
        <v>109</v>
      </c>
      <c r="K266" s="28">
        <v>16.0</v>
      </c>
      <c r="L266" s="26" t="str">
        <f t="shared" si="1"/>
        <v>Médio</v>
      </c>
      <c r="M266" s="31" t="str">
        <f t="shared" si="2"/>
        <v>Aceito</v>
      </c>
      <c r="N266" s="31" t="str">
        <f t="shared" si="3"/>
        <v>Positiva</v>
      </c>
      <c r="O266" s="32">
        <v>97000.0</v>
      </c>
      <c r="P266" s="32">
        <f t="shared" si="4"/>
        <v>104760</v>
      </c>
      <c r="Q266" s="26">
        <f t="shared" si="5"/>
        <v>1</v>
      </c>
    </row>
    <row r="267">
      <c r="A267" s="33" t="s">
        <v>340</v>
      </c>
      <c r="B267" s="33" t="s">
        <v>903</v>
      </c>
      <c r="C267" s="34">
        <v>2800.0</v>
      </c>
      <c r="D267" s="35">
        <v>24.0</v>
      </c>
      <c r="E267" s="36">
        <v>37470.0</v>
      </c>
      <c r="F267" s="33" t="s">
        <v>428</v>
      </c>
      <c r="G267" s="33" t="s">
        <v>79</v>
      </c>
      <c r="H267" s="37">
        <v>16900.0</v>
      </c>
      <c r="I267" s="37">
        <v>42500.0</v>
      </c>
      <c r="J267" s="35" t="s">
        <v>32</v>
      </c>
      <c r="K267" s="35">
        <v>26.0</v>
      </c>
      <c r="L267" s="33" t="str">
        <f t="shared" si="1"/>
        <v>Alto</v>
      </c>
      <c r="M267" s="38" t="str">
        <f t="shared" si="2"/>
        <v>Negado</v>
      </c>
      <c r="N267" s="38" t="str">
        <f t="shared" si="3"/>
        <v>Positiva</v>
      </c>
      <c r="O267" s="39">
        <v>12500.0</v>
      </c>
      <c r="P267" s="35">
        <f t="shared" si="4"/>
        <v>0</v>
      </c>
      <c r="Q267" s="33">
        <f t="shared" si="5"/>
        <v>1</v>
      </c>
    </row>
    <row r="268">
      <c r="A268" s="26" t="s">
        <v>71</v>
      </c>
      <c r="B268" s="26" t="s">
        <v>905</v>
      </c>
      <c r="C268" s="27" t="s">
        <v>906</v>
      </c>
      <c r="D268" s="28">
        <v>56.0</v>
      </c>
      <c r="E268" s="29">
        <v>25759.0</v>
      </c>
      <c r="F268" s="26" t="s">
        <v>115</v>
      </c>
      <c r="G268" s="26" t="s">
        <v>117</v>
      </c>
      <c r="H268" s="30">
        <v>0.0</v>
      </c>
      <c r="I268" s="30">
        <v>5000.0</v>
      </c>
      <c r="J268" s="28" t="s">
        <v>31</v>
      </c>
      <c r="K268" s="28">
        <v>8.0</v>
      </c>
      <c r="L268" s="26" t="str">
        <f t="shared" si="1"/>
        <v>Baixo</v>
      </c>
      <c r="M268" s="31" t="str">
        <f t="shared" si="2"/>
        <v>Aceito</v>
      </c>
      <c r="N268" s="31" t="str">
        <f t="shared" si="3"/>
        <v>Positiva</v>
      </c>
      <c r="O268" s="32">
        <v>11000.0</v>
      </c>
      <c r="P268" s="32">
        <f t="shared" si="4"/>
        <v>11880</v>
      </c>
      <c r="Q268" s="26">
        <f t="shared" si="5"/>
        <v>1</v>
      </c>
    </row>
    <row r="269">
      <c r="A269" s="33" t="s">
        <v>76</v>
      </c>
      <c r="B269" s="33" t="s">
        <v>850</v>
      </c>
      <c r="C269" s="34" t="s">
        <v>907</v>
      </c>
      <c r="D269" s="35">
        <v>67.0</v>
      </c>
      <c r="E269" s="36">
        <v>21573.0</v>
      </c>
      <c r="F269" s="33" t="s">
        <v>342</v>
      </c>
      <c r="G269" s="33" t="s">
        <v>437</v>
      </c>
      <c r="H269" s="37">
        <v>6400.0</v>
      </c>
      <c r="I269" s="37">
        <v>1000.0</v>
      </c>
      <c r="J269" s="35" t="s">
        <v>31</v>
      </c>
      <c r="K269" s="35">
        <v>27.0</v>
      </c>
      <c r="L269" s="33" t="str">
        <f t="shared" si="1"/>
        <v>Alto</v>
      </c>
      <c r="M269" s="38" t="str">
        <f t="shared" si="2"/>
        <v>Aceito</v>
      </c>
      <c r="N269" s="38" t="str">
        <f t="shared" si="3"/>
        <v>Positiva</v>
      </c>
      <c r="O269" s="39">
        <v>50000.0</v>
      </c>
      <c r="P269" s="35">
        <f t="shared" si="4"/>
        <v>0</v>
      </c>
      <c r="Q269" s="33">
        <f t="shared" si="5"/>
        <v>1</v>
      </c>
    </row>
    <row r="270">
      <c r="A270" s="26" t="s">
        <v>71</v>
      </c>
      <c r="B270" s="26" t="s">
        <v>909</v>
      </c>
      <c r="C270" s="27">
        <v>15600.0</v>
      </c>
      <c r="D270" s="28">
        <v>45.0</v>
      </c>
      <c r="E270" s="29">
        <v>29843.0</v>
      </c>
      <c r="F270" s="26" t="s">
        <v>82</v>
      </c>
      <c r="G270" s="26" t="s">
        <v>83</v>
      </c>
      <c r="H270" s="30">
        <v>11300.0</v>
      </c>
      <c r="I270" s="30">
        <v>55000.0</v>
      </c>
      <c r="J270" s="28" t="s">
        <v>31</v>
      </c>
      <c r="K270" s="28">
        <v>38.0</v>
      </c>
      <c r="L270" s="26" t="str">
        <f t="shared" si="1"/>
        <v>Alto</v>
      </c>
      <c r="M270" s="31" t="str">
        <f t="shared" si="2"/>
        <v>Aceito</v>
      </c>
      <c r="N270" s="31" t="str">
        <f t="shared" si="3"/>
        <v>Positiva</v>
      </c>
      <c r="O270" s="32">
        <v>68500.0</v>
      </c>
      <c r="P270" s="32">
        <f t="shared" si="4"/>
        <v>73980</v>
      </c>
      <c r="Q270" s="26">
        <f t="shared" si="5"/>
        <v>1</v>
      </c>
    </row>
    <row r="271">
      <c r="A271" s="33" t="s">
        <v>71</v>
      </c>
      <c r="B271" s="33" t="s">
        <v>910</v>
      </c>
      <c r="C271" s="34" t="s">
        <v>911</v>
      </c>
      <c r="D271" s="35">
        <v>33.0</v>
      </c>
      <c r="E271" s="36">
        <v>34070.0</v>
      </c>
      <c r="F271" s="33" t="s">
        <v>428</v>
      </c>
      <c r="G271" s="33" t="s">
        <v>79</v>
      </c>
      <c r="H271" s="37">
        <v>29300.0</v>
      </c>
      <c r="I271" s="37">
        <v>69000.0</v>
      </c>
      <c r="J271" s="35" t="s">
        <v>32</v>
      </c>
      <c r="K271" s="35">
        <v>0.0</v>
      </c>
      <c r="L271" s="33" t="str">
        <f t="shared" si="1"/>
        <v>Baixo</v>
      </c>
      <c r="M271" s="38" t="str">
        <f t="shared" si="2"/>
        <v>Aceito</v>
      </c>
      <c r="N271" s="38" t="str">
        <f t="shared" si="3"/>
        <v>Negativa</v>
      </c>
      <c r="O271" s="39">
        <v>4500.0</v>
      </c>
      <c r="P271" s="39">
        <f t="shared" si="4"/>
        <v>4860</v>
      </c>
      <c r="Q271" s="33">
        <f t="shared" si="5"/>
        <v>1</v>
      </c>
    </row>
    <row r="272">
      <c r="A272" s="26" t="s">
        <v>71</v>
      </c>
      <c r="B272" s="26" t="s">
        <v>912</v>
      </c>
      <c r="C272" s="27" t="s">
        <v>913</v>
      </c>
      <c r="D272" s="28">
        <v>24.0</v>
      </c>
      <c r="E272" s="29">
        <v>37394.0</v>
      </c>
      <c r="F272" s="26" t="s">
        <v>1171</v>
      </c>
      <c r="G272" s="26" t="s">
        <v>94</v>
      </c>
      <c r="H272" s="30">
        <v>14200.0</v>
      </c>
      <c r="I272" s="30">
        <v>71000.0</v>
      </c>
      <c r="J272" s="28" t="s">
        <v>31</v>
      </c>
      <c r="K272" s="28">
        <v>10.0</v>
      </c>
      <c r="L272" s="26" t="str">
        <f t="shared" si="1"/>
        <v>Baixo</v>
      </c>
      <c r="M272" s="31" t="str">
        <f t="shared" si="2"/>
        <v>Aceito</v>
      </c>
      <c r="N272" s="31" t="str">
        <f t="shared" si="3"/>
        <v>Positiva</v>
      </c>
      <c r="O272" s="32">
        <v>91500.0</v>
      </c>
      <c r="P272" s="32">
        <f t="shared" si="4"/>
        <v>98820</v>
      </c>
      <c r="Q272" s="26">
        <f t="shared" si="5"/>
        <v>1</v>
      </c>
    </row>
    <row r="273">
      <c r="A273" s="33" t="s">
        <v>71</v>
      </c>
      <c r="B273" s="33" t="s">
        <v>915</v>
      </c>
      <c r="C273" s="34">
        <v>31900.0</v>
      </c>
      <c r="D273" s="35">
        <v>21.0</v>
      </c>
      <c r="E273" s="36">
        <v>38678.0</v>
      </c>
      <c r="F273" s="33" t="s">
        <v>136</v>
      </c>
      <c r="G273" s="33" t="s">
        <v>117</v>
      </c>
      <c r="H273" s="37">
        <v>9300.0</v>
      </c>
      <c r="I273" s="37">
        <v>35.0</v>
      </c>
      <c r="J273" s="35" t="s">
        <v>31</v>
      </c>
      <c r="K273" s="35">
        <v>5.0</v>
      </c>
      <c r="L273" s="33" t="str">
        <f t="shared" si="1"/>
        <v>Baixo</v>
      </c>
      <c r="M273" s="38" t="str">
        <f t="shared" si="2"/>
        <v>Aceito</v>
      </c>
      <c r="N273" s="38" t="str">
        <f t="shared" si="3"/>
        <v>Positiva</v>
      </c>
      <c r="O273" s="39">
        <v>10500.0</v>
      </c>
      <c r="P273" s="39">
        <f t="shared" si="4"/>
        <v>11340</v>
      </c>
      <c r="Q273" s="33">
        <f t="shared" si="5"/>
        <v>1</v>
      </c>
    </row>
    <row r="274">
      <c r="A274" s="26" t="s">
        <v>71</v>
      </c>
      <c r="B274" s="26" t="s">
        <v>916</v>
      </c>
      <c r="C274" s="27" t="s">
        <v>917</v>
      </c>
      <c r="D274" s="28">
        <v>21.0</v>
      </c>
      <c r="E274" s="29">
        <v>38704.0</v>
      </c>
      <c r="F274" s="26" t="s">
        <v>428</v>
      </c>
      <c r="G274" s="26" t="s">
        <v>79</v>
      </c>
      <c r="H274" s="30">
        <v>12900.0</v>
      </c>
      <c r="I274" s="30">
        <v>26500.0</v>
      </c>
      <c r="J274" s="28" t="s">
        <v>31</v>
      </c>
      <c r="K274" s="28">
        <v>13.0</v>
      </c>
      <c r="L274" s="26" t="str">
        <f t="shared" si="1"/>
        <v>Médio</v>
      </c>
      <c r="M274" s="31" t="str">
        <f t="shared" si="2"/>
        <v>Aceito</v>
      </c>
      <c r="N274" s="31" t="str">
        <f t="shared" si="3"/>
        <v>Positiva</v>
      </c>
      <c r="O274" s="32">
        <v>2000.0</v>
      </c>
      <c r="P274" s="32">
        <f t="shared" si="4"/>
        <v>2160</v>
      </c>
      <c r="Q274" s="26">
        <f t="shared" si="5"/>
        <v>1</v>
      </c>
    </row>
    <row r="275">
      <c r="A275" s="33" t="s">
        <v>76</v>
      </c>
      <c r="B275" s="33" t="s">
        <v>920</v>
      </c>
      <c r="C275" s="34" t="s">
        <v>921</v>
      </c>
      <c r="D275" s="35">
        <v>27.0</v>
      </c>
      <c r="E275" s="36">
        <v>36337.0</v>
      </c>
      <c r="F275" s="33" t="s">
        <v>255</v>
      </c>
      <c r="G275" s="33" t="s">
        <v>205</v>
      </c>
      <c r="H275" s="37">
        <v>22500.0</v>
      </c>
      <c r="I275" s="37">
        <v>55500.0</v>
      </c>
      <c r="J275" s="35" t="s">
        <v>31</v>
      </c>
      <c r="K275" s="35">
        <v>32.0</v>
      </c>
      <c r="L275" s="33" t="str">
        <f t="shared" si="1"/>
        <v>Alto</v>
      </c>
      <c r="M275" s="38" t="str">
        <f t="shared" si="2"/>
        <v>Aceito</v>
      </c>
      <c r="N275" s="38" t="str">
        <f t="shared" si="3"/>
        <v>Positiva</v>
      </c>
      <c r="O275" s="39">
        <v>91500.0</v>
      </c>
      <c r="P275" s="35">
        <f t="shared" si="4"/>
        <v>0</v>
      </c>
      <c r="Q275" s="33">
        <f t="shared" si="5"/>
        <v>1</v>
      </c>
    </row>
    <row r="276">
      <c r="A276" s="26" t="s">
        <v>71</v>
      </c>
      <c r="B276" s="26" t="s">
        <v>922</v>
      </c>
      <c r="C276" s="27">
        <v>29500.0</v>
      </c>
      <c r="D276" s="28">
        <v>69.0</v>
      </c>
      <c r="E276" s="29">
        <v>21079.0</v>
      </c>
      <c r="F276" s="26" t="s">
        <v>342</v>
      </c>
      <c r="G276" s="26" t="s">
        <v>437</v>
      </c>
      <c r="H276" s="30">
        <v>3600.0</v>
      </c>
      <c r="I276" s="30">
        <v>64500.0</v>
      </c>
      <c r="J276" s="28" t="s">
        <v>32</v>
      </c>
      <c r="K276" s="28">
        <v>32.0</v>
      </c>
      <c r="L276" s="26" t="str">
        <f t="shared" si="1"/>
        <v>Alto</v>
      </c>
      <c r="M276" s="31" t="str">
        <f t="shared" si="2"/>
        <v>Negado</v>
      </c>
      <c r="N276" s="31" t="str">
        <f t="shared" si="3"/>
        <v>Negativa</v>
      </c>
      <c r="O276" s="32">
        <v>35500.0</v>
      </c>
      <c r="P276" s="28">
        <f t="shared" si="4"/>
        <v>0</v>
      </c>
      <c r="Q276" s="26">
        <f t="shared" si="5"/>
        <v>0</v>
      </c>
    </row>
    <row r="277">
      <c r="A277" s="33" t="s">
        <v>76</v>
      </c>
      <c r="B277" s="33" t="s">
        <v>737</v>
      </c>
      <c r="C277" s="34" t="s">
        <v>925</v>
      </c>
      <c r="D277" s="35">
        <v>54.0</v>
      </c>
      <c r="E277" s="36">
        <v>26558.0</v>
      </c>
      <c r="F277" s="33" t="s">
        <v>82</v>
      </c>
      <c r="G277" s="33" t="s">
        <v>83</v>
      </c>
      <c r="H277" s="37">
        <v>15500.0</v>
      </c>
      <c r="I277" s="37" t="s">
        <v>84</v>
      </c>
      <c r="J277" s="35" t="s">
        <v>31</v>
      </c>
      <c r="K277" s="35">
        <v>16.0</v>
      </c>
      <c r="L277" s="33" t="str">
        <f t="shared" si="1"/>
        <v>Médio</v>
      </c>
      <c r="M277" s="38" t="str">
        <f t="shared" si="2"/>
        <v>Aceito</v>
      </c>
      <c r="N277" s="38" t="str">
        <f t="shared" si="3"/>
        <v>Positiva</v>
      </c>
      <c r="O277" s="39">
        <v>41000.0</v>
      </c>
      <c r="P277" s="35">
        <f t="shared" si="4"/>
        <v>0</v>
      </c>
      <c r="Q277" s="33">
        <f t="shared" si="5"/>
        <v>1</v>
      </c>
    </row>
    <row r="278">
      <c r="A278" s="26" t="s">
        <v>71</v>
      </c>
      <c r="B278" s="26" t="s">
        <v>927</v>
      </c>
      <c r="C278" s="27" t="s">
        <v>928</v>
      </c>
      <c r="D278" s="28">
        <v>127.0</v>
      </c>
      <c r="E278" s="29">
        <v>0.0</v>
      </c>
      <c r="F278" s="26" t="s">
        <v>258</v>
      </c>
      <c r="G278" s="26" t="s">
        <v>222</v>
      </c>
      <c r="H278" s="30">
        <v>1900.0</v>
      </c>
      <c r="I278" s="30">
        <v>3500.0</v>
      </c>
      <c r="J278" s="28" t="s">
        <v>31</v>
      </c>
      <c r="K278" s="28">
        <v>19.0</v>
      </c>
      <c r="L278" s="26" t="str">
        <f t="shared" si="1"/>
        <v>Médio</v>
      </c>
      <c r="M278" s="31" t="str">
        <f t="shared" si="2"/>
        <v>Aceito</v>
      </c>
      <c r="N278" s="31" t="str">
        <f t="shared" si="3"/>
        <v>Positiva</v>
      </c>
      <c r="O278" s="32">
        <v>62000.0</v>
      </c>
      <c r="P278" s="32">
        <f t="shared" si="4"/>
        <v>66960</v>
      </c>
      <c r="Q278" s="26">
        <f t="shared" si="5"/>
        <v>1</v>
      </c>
    </row>
    <row r="279">
      <c r="A279" s="33" t="s">
        <v>71</v>
      </c>
      <c r="B279" s="33" t="s">
        <v>1172</v>
      </c>
      <c r="C279" s="34" t="s">
        <v>930</v>
      </c>
      <c r="D279" s="35">
        <v>61.0</v>
      </c>
      <c r="E279" s="36">
        <v>24023.0</v>
      </c>
      <c r="F279" s="33" t="s">
        <v>234</v>
      </c>
      <c r="G279" s="33" t="s">
        <v>205</v>
      </c>
      <c r="H279" s="37">
        <v>7000.0</v>
      </c>
      <c r="I279" s="37">
        <v>1500.0</v>
      </c>
      <c r="J279" s="35" t="s">
        <v>32</v>
      </c>
      <c r="K279" s="35">
        <v>32.0</v>
      </c>
      <c r="L279" s="33" t="str">
        <f t="shared" si="1"/>
        <v>Alto</v>
      </c>
      <c r="M279" s="38" t="str">
        <f t="shared" si="2"/>
        <v>Negado</v>
      </c>
      <c r="N279" s="38" t="str">
        <f t="shared" si="3"/>
        <v>Positiva</v>
      </c>
      <c r="O279" s="39">
        <v>53000.0</v>
      </c>
      <c r="P279" s="39">
        <f t="shared" si="4"/>
        <v>57240</v>
      </c>
      <c r="Q279" s="33">
        <f t="shared" si="5"/>
        <v>1</v>
      </c>
    </row>
    <row r="280">
      <c r="A280" s="26" t="s">
        <v>71</v>
      </c>
      <c r="B280" s="26" t="s">
        <v>931</v>
      </c>
      <c r="C280" s="27" t="s">
        <v>932</v>
      </c>
      <c r="D280" s="28">
        <v>25.0</v>
      </c>
      <c r="E280" s="29">
        <v>37118.0</v>
      </c>
      <c r="F280" s="26" t="s">
        <v>258</v>
      </c>
      <c r="G280" s="26" t="s">
        <v>222</v>
      </c>
      <c r="H280" s="30">
        <v>27300.0</v>
      </c>
      <c r="I280" s="30">
        <v>1500.0</v>
      </c>
      <c r="J280" s="28" t="s">
        <v>32</v>
      </c>
      <c r="K280" s="28">
        <v>33.0</v>
      </c>
      <c r="L280" s="26" t="str">
        <f t="shared" si="1"/>
        <v>Alto</v>
      </c>
      <c r="M280" s="31" t="str">
        <f t="shared" si="2"/>
        <v>Negado</v>
      </c>
      <c r="N280" s="31" t="str">
        <f t="shared" si="3"/>
        <v>Positiva</v>
      </c>
      <c r="O280" s="32">
        <v>14000.0</v>
      </c>
      <c r="P280" s="32">
        <f t="shared" si="4"/>
        <v>15120</v>
      </c>
      <c r="Q280" s="26">
        <f t="shared" si="5"/>
        <v>1</v>
      </c>
    </row>
    <row r="281">
      <c r="A281" s="33" t="s">
        <v>71</v>
      </c>
      <c r="B281" s="33" t="s">
        <v>934</v>
      </c>
      <c r="C281" s="34" t="s">
        <v>935</v>
      </c>
      <c r="D281" s="35">
        <v>52.0</v>
      </c>
      <c r="E281" s="36">
        <v>27088.0</v>
      </c>
      <c r="F281" s="33" t="s">
        <v>78</v>
      </c>
      <c r="G281" s="33" t="s">
        <v>79</v>
      </c>
      <c r="H281" s="37">
        <v>24900.0</v>
      </c>
      <c r="I281" s="37">
        <v>0.0</v>
      </c>
      <c r="J281" s="35" t="s">
        <v>31</v>
      </c>
      <c r="K281" s="35">
        <v>24.0</v>
      </c>
      <c r="L281" s="33" t="str">
        <f t="shared" si="1"/>
        <v>Médio</v>
      </c>
      <c r="M281" s="38" t="str">
        <f t="shared" si="2"/>
        <v>Aceito</v>
      </c>
      <c r="N281" s="38" t="str">
        <f t="shared" si="3"/>
        <v>Positiva</v>
      </c>
      <c r="O281" s="39">
        <v>16000.0</v>
      </c>
      <c r="P281" s="39">
        <f t="shared" si="4"/>
        <v>17280</v>
      </c>
      <c r="Q281" s="33">
        <f t="shared" si="5"/>
        <v>1</v>
      </c>
    </row>
    <row r="282">
      <c r="A282" s="26" t="s">
        <v>76</v>
      </c>
      <c r="B282" s="26" t="s">
        <v>936</v>
      </c>
      <c r="C282" s="27" t="s">
        <v>937</v>
      </c>
      <c r="D282" s="28">
        <v>33.0</v>
      </c>
      <c r="E282" s="29">
        <v>33989.0</v>
      </c>
      <c r="F282" s="26" t="s">
        <v>316</v>
      </c>
      <c r="G282" s="26" t="s">
        <v>83</v>
      </c>
      <c r="H282" s="30">
        <v>23400.0</v>
      </c>
      <c r="I282" s="30">
        <v>59000.0</v>
      </c>
      <c r="J282" s="28" t="s">
        <v>32</v>
      </c>
      <c r="K282" s="28">
        <v>35.0</v>
      </c>
      <c r="L282" s="26" t="str">
        <f t="shared" si="1"/>
        <v>Alto</v>
      </c>
      <c r="M282" s="31" t="str">
        <f t="shared" si="2"/>
        <v>Negado</v>
      </c>
      <c r="N282" s="31" t="str">
        <f t="shared" si="3"/>
        <v>Negativa</v>
      </c>
      <c r="O282" s="32">
        <v>39000.0</v>
      </c>
      <c r="P282" s="28">
        <f t="shared" si="4"/>
        <v>0</v>
      </c>
      <c r="Q282" s="26">
        <f t="shared" si="5"/>
        <v>0</v>
      </c>
    </row>
    <row r="283">
      <c r="A283" s="33" t="s">
        <v>76</v>
      </c>
      <c r="B283" s="33" t="s">
        <v>938</v>
      </c>
      <c r="C283" s="34" t="s">
        <v>939</v>
      </c>
      <c r="D283" s="35">
        <v>48.0</v>
      </c>
      <c r="E283" s="36">
        <v>28737.0</v>
      </c>
      <c r="F283" s="33" t="s">
        <v>316</v>
      </c>
      <c r="G283" s="33" t="s">
        <v>83</v>
      </c>
      <c r="H283" s="37">
        <v>12400.0</v>
      </c>
      <c r="I283" s="37">
        <v>0.0</v>
      </c>
      <c r="J283" s="35" t="s">
        <v>31</v>
      </c>
      <c r="K283" s="35">
        <v>25.0</v>
      </c>
      <c r="L283" s="33" t="str">
        <f t="shared" si="1"/>
        <v>Médio</v>
      </c>
      <c r="M283" s="38" t="str">
        <f t="shared" si="2"/>
        <v>Aceito</v>
      </c>
      <c r="N283" s="38" t="str">
        <f t="shared" si="3"/>
        <v>Positiva</v>
      </c>
      <c r="O283" s="39">
        <v>65500.0</v>
      </c>
      <c r="P283" s="35">
        <f t="shared" si="4"/>
        <v>0</v>
      </c>
      <c r="Q283" s="33">
        <f t="shared" si="5"/>
        <v>1</v>
      </c>
    </row>
    <row r="284">
      <c r="A284" s="26" t="s">
        <v>76</v>
      </c>
      <c r="B284" s="26" t="s">
        <v>940</v>
      </c>
      <c r="C284" s="27" t="s">
        <v>941</v>
      </c>
      <c r="D284" s="28">
        <v>55.0</v>
      </c>
      <c r="E284" s="29">
        <v>26142.0</v>
      </c>
      <c r="F284" s="26" t="s">
        <v>74</v>
      </c>
      <c r="G284" s="26" t="s">
        <v>75</v>
      </c>
      <c r="H284" s="30">
        <v>29700.0</v>
      </c>
      <c r="I284" s="30">
        <v>78000.0</v>
      </c>
      <c r="J284" s="28" t="s">
        <v>32</v>
      </c>
      <c r="K284" s="28">
        <v>14.0</v>
      </c>
      <c r="L284" s="26" t="str">
        <f t="shared" si="1"/>
        <v>Médio</v>
      </c>
      <c r="M284" s="31" t="str">
        <f t="shared" si="2"/>
        <v>Aceito</v>
      </c>
      <c r="N284" s="31" t="str">
        <f t="shared" si="3"/>
        <v>Negativa</v>
      </c>
      <c r="O284" s="32">
        <v>27000.0</v>
      </c>
      <c r="P284" s="28">
        <f t="shared" si="4"/>
        <v>0</v>
      </c>
      <c r="Q284" s="26">
        <f t="shared" si="5"/>
        <v>1</v>
      </c>
    </row>
    <row r="285">
      <c r="A285" s="33" t="s">
        <v>71</v>
      </c>
      <c r="B285" s="33" t="s">
        <v>944</v>
      </c>
      <c r="C285" s="34" t="s">
        <v>945</v>
      </c>
      <c r="D285" s="35">
        <v>127.0</v>
      </c>
      <c r="E285" s="36">
        <v>0.0</v>
      </c>
      <c r="F285" s="33" t="s">
        <v>136</v>
      </c>
      <c r="G285" s="33" t="s">
        <v>117</v>
      </c>
      <c r="H285" s="37">
        <v>14500.0</v>
      </c>
      <c r="I285" s="37">
        <v>39500.0</v>
      </c>
      <c r="J285" s="35" t="s">
        <v>31</v>
      </c>
      <c r="K285" s="35">
        <v>18.0</v>
      </c>
      <c r="L285" s="33" t="str">
        <f t="shared" si="1"/>
        <v>Médio</v>
      </c>
      <c r="M285" s="38" t="str">
        <f t="shared" si="2"/>
        <v>Aceito</v>
      </c>
      <c r="N285" s="38" t="str">
        <f t="shared" si="3"/>
        <v>Positiva</v>
      </c>
      <c r="O285" s="39">
        <v>32000.0</v>
      </c>
      <c r="P285" s="39">
        <f t="shared" si="4"/>
        <v>34560</v>
      </c>
      <c r="Q285" s="33">
        <f t="shared" si="5"/>
        <v>1</v>
      </c>
    </row>
    <row r="286">
      <c r="A286" s="26" t="s">
        <v>71</v>
      </c>
      <c r="B286" s="26" t="s">
        <v>946</v>
      </c>
      <c r="C286" s="27" t="s">
        <v>947</v>
      </c>
      <c r="D286" s="28">
        <v>53.0</v>
      </c>
      <c r="E286" s="29">
        <v>26921.0</v>
      </c>
      <c r="F286" s="26" t="s">
        <v>234</v>
      </c>
      <c r="G286" s="26" t="s">
        <v>205</v>
      </c>
      <c r="H286" s="30">
        <v>7300.0</v>
      </c>
      <c r="I286" s="30">
        <v>74000.0</v>
      </c>
      <c r="J286" s="28" t="s">
        <v>31</v>
      </c>
      <c r="K286" s="28">
        <v>40.0</v>
      </c>
      <c r="L286" s="26" t="str">
        <f t="shared" si="1"/>
        <v>Alto</v>
      </c>
      <c r="M286" s="31" t="str">
        <f t="shared" si="2"/>
        <v>Aceito</v>
      </c>
      <c r="N286" s="31" t="str">
        <f t="shared" si="3"/>
        <v>Positiva</v>
      </c>
      <c r="O286" s="32">
        <v>34500.0</v>
      </c>
      <c r="P286" s="32">
        <f t="shared" si="4"/>
        <v>37260</v>
      </c>
      <c r="Q286" s="26">
        <f t="shared" si="5"/>
        <v>1</v>
      </c>
    </row>
    <row r="287">
      <c r="A287" s="33" t="s">
        <v>71</v>
      </c>
      <c r="B287" s="33" t="s">
        <v>950</v>
      </c>
      <c r="C287" s="34" t="s">
        <v>951</v>
      </c>
      <c r="D287" s="35">
        <v>64.0</v>
      </c>
      <c r="E287" s="36">
        <v>23006.0</v>
      </c>
      <c r="F287" s="33" t="s">
        <v>1173</v>
      </c>
      <c r="G287" s="33" t="s">
        <v>340</v>
      </c>
      <c r="H287" s="37">
        <v>11200.0</v>
      </c>
      <c r="I287" s="37" t="s">
        <v>84</v>
      </c>
      <c r="J287" s="35" t="s">
        <v>109</v>
      </c>
      <c r="K287" s="35">
        <v>41.0</v>
      </c>
      <c r="L287" s="33" t="str">
        <f t="shared" si="1"/>
        <v>Alto</v>
      </c>
      <c r="M287" s="38" t="str">
        <f t="shared" si="2"/>
        <v>Aceito</v>
      </c>
      <c r="N287" s="38" t="str">
        <f t="shared" si="3"/>
        <v>Positiva</v>
      </c>
      <c r="O287" s="39">
        <v>83500.0</v>
      </c>
      <c r="P287" s="39">
        <f t="shared" si="4"/>
        <v>90180</v>
      </c>
      <c r="Q287" s="33">
        <f t="shared" si="5"/>
        <v>1</v>
      </c>
    </row>
    <row r="288">
      <c r="A288" s="26" t="s">
        <v>76</v>
      </c>
      <c r="B288" s="26" t="s">
        <v>954</v>
      </c>
      <c r="C288" s="27" t="s">
        <v>955</v>
      </c>
      <c r="D288" s="28">
        <v>53.0</v>
      </c>
      <c r="E288" s="29">
        <v>26840.0</v>
      </c>
      <c r="F288" s="26" t="s">
        <v>1174</v>
      </c>
      <c r="G288" s="26" t="s">
        <v>205</v>
      </c>
      <c r="H288" s="30">
        <v>9500.0</v>
      </c>
      <c r="I288" s="30">
        <v>66.5</v>
      </c>
      <c r="J288" s="28" t="s">
        <v>32</v>
      </c>
      <c r="K288" s="28">
        <v>38.0</v>
      </c>
      <c r="L288" s="26" t="str">
        <f t="shared" si="1"/>
        <v>Alto</v>
      </c>
      <c r="M288" s="31" t="str">
        <f t="shared" si="2"/>
        <v>Negado</v>
      </c>
      <c r="N288" s="31" t="str">
        <f t="shared" si="3"/>
        <v>Positiva</v>
      </c>
      <c r="O288" s="32">
        <v>42500.0</v>
      </c>
      <c r="P288" s="28">
        <f t="shared" si="4"/>
        <v>0</v>
      </c>
      <c r="Q288" s="26">
        <f t="shared" si="5"/>
        <v>1</v>
      </c>
    </row>
    <row r="289">
      <c r="A289" s="33" t="s">
        <v>71</v>
      </c>
      <c r="B289" s="33" t="s">
        <v>958</v>
      </c>
      <c r="C289" s="34" t="s">
        <v>959</v>
      </c>
      <c r="D289" s="35">
        <v>71.0</v>
      </c>
      <c r="E289" s="36">
        <v>20275.0</v>
      </c>
      <c r="F289" s="33" t="s">
        <v>93</v>
      </c>
      <c r="G289" s="33" t="s">
        <v>94</v>
      </c>
      <c r="H289" s="37">
        <v>14200.0</v>
      </c>
      <c r="I289" s="37">
        <v>51000.0</v>
      </c>
      <c r="J289" s="35" t="s">
        <v>31</v>
      </c>
      <c r="K289" s="35">
        <v>10.0</v>
      </c>
      <c r="L289" s="33" t="str">
        <f t="shared" si="1"/>
        <v>Baixo</v>
      </c>
      <c r="M289" s="38" t="str">
        <f t="shared" si="2"/>
        <v>Aceito</v>
      </c>
      <c r="N289" s="38" t="str">
        <f t="shared" si="3"/>
        <v>Positiva</v>
      </c>
      <c r="O289" s="39">
        <v>90500.0</v>
      </c>
      <c r="P289" s="39">
        <f t="shared" si="4"/>
        <v>97740</v>
      </c>
      <c r="Q289" s="33">
        <f t="shared" si="5"/>
        <v>1</v>
      </c>
    </row>
    <row r="290">
      <c r="A290" s="26" t="s">
        <v>76</v>
      </c>
      <c r="B290" s="26" t="s">
        <v>737</v>
      </c>
      <c r="C290" s="27" t="s">
        <v>738</v>
      </c>
      <c r="D290" s="28">
        <v>38.0</v>
      </c>
      <c r="E290" s="29">
        <v>32414.0</v>
      </c>
      <c r="F290" s="26" t="s">
        <v>1040</v>
      </c>
      <c r="G290" s="26" t="s">
        <v>340</v>
      </c>
      <c r="H290" s="30">
        <v>12800.0</v>
      </c>
      <c r="I290" s="30">
        <v>76500.0</v>
      </c>
      <c r="J290" s="28" t="s">
        <v>31</v>
      </c>
      <c r="K290" s="28">
        <v>30.0</v>
      </c>
      <c r="L290" s="26" t="str">
        <f t="shared" si="1"/>
        <v>Alto</v>
      </c>
      <c r="M290" s="31" t="str">
        <f t="shared" si="2"/>
        <v>Aceito</v>
      </c>
      <c r="N290" s="31" t="str">
        <f t="shared" si="3"/>
        <v>Positiva</v>
      </c>
      <c r="O290" s="32">
        <v>95000.0</v>
      </c>
      <c r="P290" s="28">
        <f t="shared" si="4"/>
        <v>0</v>
      </c>
      <c r="Q290" s="26">
        <f t="shared" si="5"/>
        <v>1</v>
      </c>
    </row>
    <row r="291">
      <c r="A291" s="33" t="s">
        <v>71</v>
      </c>
      <c r="B291" s="33" t="s">
        <v>960</v>
      </c>
      <c r="C291" s="34" t="s">
        <v>961</v>
      </c>
      <c r="D291" s="35">
        <v>23.0</v>
      </c>
      <c r="E291" s="36">
        <v>37936.0</v>
      </c>
      <c r="F291" s="33" t="s">
        <v>74</v>
      </c>
      <c r="G291" s="33" t="s">
        <v>75</v>
      </c>
      <c r="H291" s="37">
        <v>4100.0</v>
      </c>
      <c r="I291" s="37">
        <v>2000.0</v>
      </c>
      <c r="J291" s="35" t="s">
        <v>31</v>
      </c>
      <c r="K291" s="35">
        <v>8.0</v>
      </c>
      <c r="L291" s="33" t="str">
        <f t="shared" si="1"/>
        <v>Baixo</v>
      </c>
      <c r="M291" s="38" t="str">
        <f t="shared" si="2"/>
        <v>Aceito</v>
      </c>
      <c r="N291" s="38" t="str">
        <f t="shared" si="3"/>
        <v>Positiva</v>
      </c>
      <c r="O291" s="39">
        <v>4000.0</v>
      </c>
      <c r="P291" s="39">
        <f t="shared" si="4"/>
        <v>4320</v>
      </c>
      <c r="Q291" s="33">
        <f t="shared" si="5"/>
        <v>1</v>
      </c>
    </row>
    <row r="292">
      <c r="A292" s="26" t="s">
        <v>76</v>
      </c>
      <c r="B292" s="26" t="s">
        <v>962</v>
      </c>
      <c r="C292" s="27" t="s">
        <v>963</v>
      </c>
      <c r="D292" s="28">
        <v>37.0</v>
      </c>
      <c r="E292" s="29">
        <v>32680.0</v>
      </c>
      <c r="F292" s="26" t="s">
        <v>136</v>
      </c>
      <c r="G292" s="26" t="s">
        <v>117</v>
      </c>
      <c r="H292" s="30">
        <v>28900.0</v>
      </c>
      <c r="I292" s="30">
        <v>71000.0</v>
      </c>
      <c r="J292" s="28" t="s">
        <v>31</v>
      </c>
      <c r="K292" s="28">
        <v>28.0</v>
      </c>
      <c r="L292" s="26" t="str">
        <f t="shared" si="1"/>
        <v>Alto</v>
      </c>
      <c r="M292" s="31" t="str">
        <f t="shared" si="2"/>
        <v>Aceito</v>
      </c>
      <c r="N292" s="31" t="str">
        <f t="shared" si="3"/>
        <v>Positiva</v>
      </c>
      <c r="O292" s="32">
        <v>36500.0</v>
      </c>
      <c r="P292" s="28">
        <f t="shared" si="4"/>
        <v>0</v>
      </c>
      <c r="Q292" s="26">
        <f t="shared" si="5"/>
        <v>1</v>
      </c>
    </row>
    <row r="293">
      <c r="A293" s="33" t="s">
        <v>71</v>
      </c>
      <c r="B293" s="33" t="s">
        <v>964</v>
      </c>
      <c r="C293" s="34">
        <v>13200.0</v>
      </c>
      <c r="D293" s="35">
        <v>30.0</v>
      </c>
      <c r="E293" s="36">
        <v>35334.0</v>
      </c>
      <c r="F293" s="33" t="s">
        <v>100</v>
      </c>
      <c r="G293" s="33" t="s">
        <v>88</v>
      </c>
      <c r="H293" s="37">
        <v>19500.0</v>
      </c>
      <c r="I293" s="37">
        <v>57000.0</v>
      </c>
      <c r="J293" s="35" t="s">
        <v>31</v>
      </c>
      <c r="K293" s="35">
        <v>12.0</v>
      </c>
      <c r="L293" s="33" t="str">
        <f t="shared" si="1"/>
        <v>Médio</v>
      </c>
      <c r="M293" s="38" t="str">
        <f t="shared" si="2"/>
        <v>Aceito</v>
      </c>
      <c r="N293" s="38" t="str">
        <f t="shared" si="3"/>
        <v>Positiva</v>
      </c>
      <c r="O293" s="39">
        <v>20500.0</v>
      </c>
      <c r="P293" s="39">
        <f t="shared" si="4"/>
        <v>22140</v>
      </c>
      <c r="Q293" s="33">
        <f t="shared" si="5"/>
        <v>1</v>
      </c>
    </row>
    <row r="294">
      <c r="A294" s="26" t="s">
        <v>71</v>
      </c>
      <c r="B294" s="26" t="s">
        <v>689</v>
      </c>
      <c r="C294" s="27" t="s">
        <v>966</v>
      </c>
      <c r="D294" s="28">
        <v>51.0</v>
      </c>
      <c r="E294" s="29">
        <v>27421.0</v>
      </c>
      <c r="F294" s="26" t="s">
        <v>270</v>
      </c>
      <c r="G294" s="26" t="s">
        <v>270</v>
      </c>
      <c r="H294" s="30">
        <v>26000.0</v>
      </c>
      <c r="I294" s="30">
        <v>47500.0</v>
      </c>
      <c r="J294" s="28" t="s">
        <v>31</v>
      </c>
      <c r="K294" s="28">
        <v>45.0</v>
      </c>
      <c r="L294" s="26" t="str">
        <f t="shared" si="1"/>
        <v>Alto</v>
      </c>
      <c r="M294" s="31" t="str">
        <f t="shared" si="2"/>
        <v>Aceito</v>
      </c>
      <c r="N294" s="31" t="str">
        <f t="shared" si="3"/>
        <v>Positiva</v>
      </c>
      <c r="O294" s="32">
        <v>60500.0</v>
      </c>
      <c r="P294" s="32">
        <f t="shared" si="4"/>
        <v>65340</v>
      </c>
      <c r="Q294" s="26">
        <f t="shared" si="5"/>
        <v>1</v>
      </c>
    </row>
    <row r="295">
      <c r="A295" s="33" t="s">
        <v>71</v>
      </c>
      <c r="B295" s="33" t="s">
        <v>968</v>
      </c>
      <c r="C295" s="34" t="s">
        <v>969</v>
      </c>
      <c r="D295" s="35">
        <v>74.0</v>
      </c>
      <c r="E295" s="36">
        <v>19047.0</v>
      </c>
      <c r="F295" s="33" t="s">
        <v>93</v>
      </c>
      <c r="G295" s="33" t="s">
        <v>94</v>
      </c>
      <c r="H295" s="37">
        <v>24000.0</v>
      </c>
      <c r="I295" s="37">
        <v>35000.0</v>
      </c>
      <c r="J295" s="35" t="s">
        <v>31</v>
      </c>
      <c r="K295" s="35">
        <v>6.0</v>
      </c>
      <c r="L295" s="33" t="str">
        <f t="shared" si="1"/>
        <v>Baixo</v>
      </c>
      <c r="M295" s="38" t="str">
        <f t="shared" si="2"/>
        <v>Aceito</v>
      </c>
      <c r="N295" s="38" t="str">
        <f t="shared" si="3"/>
        <v>Positiva</v>
      </c>
      <c r="O295" s="39">
        <v>29500.0</v>
      </c>
      <c r="P295" s="39">
        <f t="shared" si="4"/>
        <v>31860</v>
      </c>
      <c r="Q295" s="33">
        <f t="shared" si="5"/>
        <v>1</v>
      </c>
    </row>
    <row r="296">
      <c r="A296" s="26" t="s">
        <v>71</v>
      </c>
      <c r="B296" s="26" t="s">
        <v>972</v>
      </c>
      <c r="C296" s="27" t="s">
        <v>973</v>
      </c>
      <c r="D296" s="28">
        <v>20.0</v>
      </c>
      <c r="E296" s="29">
        <v>39016.0</v>
      </c>
      <c r="F296" s="26" t="s">
        <v>100</v>
      </c>
      <c r="G296" s="26" t="s">
        <v>88</v>
      </c>
      <c r="H296" s="30">
        <v>14900.0</v>
      </c>
      <c r="I296" s="30">
        <v>17000.0</v>
      </c>
      <c r="J296" s="28" t="s">
        <v>31</v>
      </c>
      <c r="K296" s="28">
        <v>20.0</v>
      </c>
      <c r="L296" s="26" t="str">
        <f t="shared" si="1"/>
        <v>Médio</v>
      </c>
      <c r="M296" s="31" t="str">
        <f t="shared" si="2"/>
        <v>Aceito</v>
      </c>
      <c r="N296" s="31" t="str">
        <f t="shared" si="3"/>
        <v>Positiva</v>
      </c>
      <c r="O296" s="32">
        <v>29500.0</v>
      </c>
      <c r="P296" s="32">
        <f t="shared" si="4"/>
        <v>31860</v>
      </c>
      <c r="Q296" s="26">
        <f t="shared" si="5"/>
        <v>1</v>
      </c>
    </row>
    <row r="297">
      <c r="A297" s="33" t="s">
        <v>76</v>
      </c>
      <c r="B297" s="33" t="s">
        <v>975</v>
      </c>
      <c r="C297" s="34">
        <v>32700.0</v>
      </c>
      <c r="D297" s="35">
        <v>57.0</v>
      </c>
      <c r="E297" s="36">
        <v>25369.0</v>
      </c>
      <c r="F297" s="33" t="s">
        <v>136</v>
      </c>
      <c r="G297" s="33" t="s">
        <v>117</v>
      </c>
      <c r="H297" s="37">
        <v>28600.0</v>
      </c>
      <c r="I297" s="37">
        <v>73500.0</v>
      </c>
      <c r="J297" s="35" t="s">
        <v>31</v>
      </c>
      <c r="K297" s="35">
        <v>29.0</v>
      </c>
      <c r="L297" s="33" t="str">
        <f t="shared" si="1"/>
        <v>Alto</v>
      </c>
      <c r="M297" s="38" t="str">
        <f t="shared" si="2"/>
        <v>Aceito</v>
      </c>
      <c r="N297" s="38" t="str">
        <f t="shared" si="3"/>
        <v>Positiva</v>
      </c>
      <c r="O297" s="39">
        <v>93500.0</v>
      </c>
      <c r="P297" s="35">
        <f t="shared" si="4"/>
        <v>0</v>
      </c>
      <c r="Q297" s="33">
        <f t="shared" si="5"/>
        <v>1</v>
      </c>
    </row>
    <row r="298">
      <c r="A298" s="26" t="s">
        <v>71</v>
      </c>
      <c r="B298" s="26" t="s">
        <v>1175</v>
      </c>
      <c r="C298" s="27">
        <v>19200.0</v>
      </c>
      <c r="D298" s="28">
        <v>50.0</v>
      </c>
      <c r="E298" s="29">
        <v>27833.0</v>
      </c>
      <c r="F298" s="26" t="s">
        <v>1072</v>
      </c>
      <c r="G298" s="26" t="s">
        <v>340</v>
      </c>
      <c r="H298" s="30">
        <v>16200.0</v>
      </c>
      <c r="I298" s="30">
        <v>25000.0</v>
      </c>
      <c r="J298" s="28" t="s">
        <v>31</v>
      </c>
      <c r="K298" s="28">
        <v>26.0</v>
      </c>
      <c r="L298" s="26" t="str">
        <f t="shared" si="1"/>
        <v>Alto</v>
      </c>
      <c r="M298" s="31" t="str">
        <f t="shared" si="2"/>
        <v>Aceito</v>
      </c>
      <c r="N298" s="31" t="str">
        <f t="shared" si="3"/>
        <v>Positiva</v>
      </c>
      <c r="O298" s="32">
        <v>65000.0</v>
      </c>
      <c r="P298" s="32">
        <f t="shared" si="4"/>
        <v>70200</v>
      </c>
      <c r="Q298" s="26">
        <f t="shared" si="5"/>
        <v>1</v>
      </c>
    </row>
    <row r="299">
      <c r="A299" s="33" t="s">
        <v>71</v>
      </c>
      <c r="B299" s="33" t="s">
        <v>620</v>
      </c>
      <c r="C299" s="34">
        <v>28500.0</v>
      </c>
      <c r="D299" s="35">
        <v>41.0</v>
      </c>
      <c r="E299" s="36">
        <v>31115.0</v>
      </c>
      <c r="F299" s="33" t="s">
        <v>203</v>
      </c>
      <c r="G299" s="33" t="s">
        <v>205</v>
      </c>
      <c r="H299" s="37">
        <v>23100.0</v>
      </c>
      <c r="I299" s="37">
        <v>36000.0</v>
      </c>
      <c r="J299" s="35" t="s">
        <v>31</v>
      </c>
      <c r="K299" s="35">
        <v>19.0</v>
      </c>
      <c r="L299" s="33" t="str">
        <f t="shared" si="1"/>
        <v>Médio</v>
      </c>
      <c r="M299" s="38" t="str">
        <f t="shared" si="2"/>
        <v>Aceito</v>
      </c>
      <c r="N299" s="38" t="str">
        <f t="shared" si="3"/>
        <v>Positiva</v>
      </c>
      <c r="O299" s="39">
        <v>37500.0</v>
      </c>
      <c r="P299" s="39">
        <f t="shared" si="4"/>
        <v>40500</v>
      </c>
      <c r="Q299" s="33">
        <f t="shared" si="5"/>
        <v>1</v>
      </c>
    </row>
    <row r="300">
      <c r="A300" s="26" t="s">
        <v>71</v>
      </c>
      <c r="B300" s="26" t="s">
        <v>980</v>
      </c>
      <c r="C300" s="27">
        <v>13700.0</v>
      </c>
      <c r="D300" s="28">
        <v>74.0</v>
      </c>
      <c r="E300" s="29">
        <v>19323.0</v>
      </c>
      <c r="F300" s="26" t="s">
        <v>342</v>
      </c>
      <c r="G300" s="26" t="s">
        <v>437</v>
      </c>
      <c r="H300" s="30">
        <v>18100.0</v>
      </c>
      <c r="I300" s="30">
        <v>0.0</v>
      </c>
      <c r="J300" s="28" t="s">
        <v>31</v>
      </c>
      <c r="K300" s="28">
        <v>36.0</v>
      </c>
      <c r="L300" s="26" t="str">
        <f t="shared" si="1"/>
        <v>Alto</v>
      </c>
      <c r="M300" s="31" t="str">
        <f t="shared" si="2"/>
        <v>Aceito</v>
      </c>
      <c r="N300" s="31" t="str">
        <f t="shared" si="3"/>
        <v>Positiva</v>
      </c>
      <c r="O300" s="32">
        <v>89000.0</v>
      </c>
      <c r="P300" s="32">
        <f t="shared" si="4"/>
        <v>96120</v>
      </c>
      <c r="Q300" s="26">
        <f t="shared" si="5"/>
        <v>1</v>
      </c>
    </row>
    <row r="301">
      <c r="A301" s="33" t="s">
        <v>71</v>
      </c>
      <c r="B301" s="33" t="s">
        <v>982</v>
      </c>
      <c r="C301" s="34">
        <v>33100.0</v>
      </c>
      <c r="D301" s="35">
        <v>26.0</v>
      </c>
      <c r="E301" s="36">
        <v>36759.0</v>
      </c>
      <c r="F301" s="33" t="s">
        <v>270</v>
      </c>
      <c r="G301" s="33" t="s">
        <v>270</v>
      </c>
      <c r="H301" s="37">
        <v>23200.0</v>
      </c>
      <c r="I301" s="37">
        <v>54500.0</v>
      </c>
      <c r="J301" s="35" t="s">
        <v>32</v>
      </c>
      <c r="K301" s="35">
        <v>26.0</v>
      </c>
      <c r="L301" s="33" t="str">
        <f t="shared" si="1"/>
        <v>Alto</v>
      </c>
      <c r="M301" s="38" t="str">
        <f t="shared" si="2"/>
        <v>Negado</v>
      </c>
      <c r="N301" s="38" t="str">
        <f t="shared" si="3"/>
        <v>Negativa</v>
      </c>
      <c r="O301" s="39">
        <v>75000.0</v>
      </c>
      <c r="P301" s="35">
        <f t="shared" si="4"/>
        <v>0</v>
      </c>
      <c r="Q301" s="33">
        <f t="shared" si="5"/>
        <v>0</v>
      </c>
    </row>
    <row r="302">
      <c r="A302" s="26" t="s">
        <v>71</v>
      </c>
      <c r="B302" s="26" t="s">
        <v>983</v>
      </c>
      <c r="C302" s="27" t="s">
        <v>984</v>
      </c>
      <c r="D302" s="28">
        <v>26.0</v>
      </c>
      <c r="E302" s="29">
        <v>36792.0</v>
      </c>
      <c r="F302" s="26" t="s">
        <v>74</v>
      </c>
      <c r="G302" s="26" t="s">
        <v>75</v>
      </c>
      <c r="H302" s="30">
        <v>22100.0</v>
      </c>
      <c r="I302" s="30">
        <v>30500.0</v>
      </c>
      <c r="J302" s="28" t="s">
        <v>31</v>
      </c>
      <c r="K302" s="28">
        <v>28.0</v>
      </c>
      <c r="L302" s="26" t="str">
        <f t="shared" si="1"/>
        <v>Alto</v>
      </c>
      <c r="M302" s="31" t="str">
        <f t="shared" si="2"/>
        <v>Aceito</v>
      </c>
      <c r="N302" s="31" t="str">
        <f t="shared" si="3"/>
        <v>Positiva</v>
      </c>
      <c r="O302" s="32">
        <v>48000.0</v>
      </c>
      <c r="P302" s="32">
        <f t="shared" si="4"/>
        <v>51840</v>
      </c>
      <c r="Q302" s="26">
        <f t="shared" si="5"/>
        <v>1</v>
      </c>
    </row>
    <row r="303">
      <c r="A303" s="33" t="s">
        <v>71</v>
      </c>
      <c r="B303" s="33" t="s">
        <v>986</v>
      </c>
      <c r="C303" s="34" t="s">
        <v>987</v>
      </c>
      <c r="D303" s="35">
        <v>36.0</v>
      </c>
      <c r="E303" s="36">
        <v>33117.0</v>
      </c>
      <c r="F303" s="33" t="s">
        <v>342</v>
      </c>
      <c r="G303" s="33" t="s">
        <v>437</v>
      </c>
      <c r="H303" s="37">
        <v>11600.0</v>
      </c>
      <c r="I303" s="37">
        <v>78500.0</v>
      </c>
      <c r="J303" s="35" t="s">
        <v>31</v>
      </c>
      <c r="K303" s="35">
        <v>1.0</v>
      </c>
      <c r="L303" s="33" t="str">
        <f t="shared" si="1"/>
        <v>Baixo</v>
      </c>
      <c r="M303" s="38" t="str">
        <f t="shared" si="2"/>
        <v>Aceito</v>
      </c>
      <c r="N303" s="38" t="str">
        <f t="shared" si="3"/>
        <v>Positiva</v>
      </c>
      <c r="O303" s="39">
        <v>42000.0</v>
      </c>
      <c r="P303" s="39">
        <f t="shared" si="4"/>
        <v>45360</v>
      </c>
      <c r="Q303" s="33">
        <f t="shared" si="5"/>
        <v>1</v>
      </c>
    </row>
    <row r="304">
      <c r="A304" s="26" t="s">
        <v>71</v>
      </c>
      <c r="B304" s="26" t="s">
        <v>989</v>
      </c>
      <c r="C304" s="27">
        <v>16600.0</v>
      </c>
      <c r="D304" s="28">
        <v>35.0</v>
      </c>
      <c r="E304" s="29">
        <v>33417.0</v>
      </c>
      <c r="F304" s="26" t="s">
        <v>258</v>
      </c>
      <c r="G304" s="26" t="s">
        <v>222</v>
      </c>
      <c r="H304" s="30">
        <v>12400.0</v>
      </c>
      <c r="I304" s="30">
        <v>0.0</v>
      </c>
      <c r="J304" s="28" t="s">
        <v>31</v>
      </c>
      <c r="K304" s="28">
        <v>3.0</v>
      </c>
      <c r="L304" s="26" t="str">
        <f t="shared" si="1"/>
        <v>Baixo</v>
      </c>
      <c r="M304" s="31" t="str">
        <f t="shared" si="2"/>
        <v>Aceito</v>
      </c>
      <c r="N304" s="31" t="str">
        <f t="shared" si="3"/>
        <v>Positiva</v>
      </c>
      <c r="O304" s="32">
        <v>83500.0</v>
      </c>
      <c r="P304" s="32">
        <f t="shared" si="4"/>
        <v>90180</v>
      </c>
      <c r="Q304" s="26">
        <f t="shared" si="5"/>
        <v>1</v>
      </c>
    </row>
    <row r="305">
      <c r="A305" s="33" t="s">
        <v>340</v>
      </c>
      <c r="B305" s="33" t="s">
        <v>991</v>
      </c>
      <c r="C305" s="34" t="s">
        <v>992</v>
      </c>
      <c r="D305" s="35">
        <v>64.0</v>
      </c>
      <c r="E305" s="36">
        <v>22845.0</v>
      </c>
      <c r="F305" s="33" t="s">
        <v>246</v>
      </c>
      <c r="G305" s="33" t="s">
        <v>205</v>
      </c>
      <c r="H305" s="37">
        <v>12700.0</v>
      </c>
      <c r="I305" s="37">
        <v>0.0</v>
      </c>
      <c r="J305" s="35" t="s">
        <v>31</v>
      </c>
      <c r="K305" s="35">
        <v>21.0</v>
      </c>
      <c r="L305" s="33" t="str">
        <f t="shared" si="1"/>
        <v>Médio</v>
      </c>
      <c r="M305" s="38" t="str">
        <f t="shared" si="2"/>
        <v>Aceito</v>
      </c>
      <c r="N305" s="38" t="str">
        <f t="shared" si="3"/>
        <v>Positiva</v>
      </c>
      <c r="O305" s="39">
        <v>50500.0</v>
      </c>
      <c r="P305" s="35">
        <f t="shared" si="4"/>
        <v>0</v>
      </c>
      <c r="Q305" s="33">
        <f t="shared" si="5"/>
        <v>1</v>
      </c>
    </row>
    <row r="306">
      <c r="A306" s="26" t="s">
        <v>71</v>
      </c>
      <c r="B306" s="26" t="s">
        <v>994</v>
      </c>
      <c r="C306" s="27" t="s">
        <v>995</v>
      </c>
      <c r="D306" s="28">
        <v>49.0</v>
      </c>
      <c r="E306" s="29">
        <v>28147.0</v>
      </c>
      <c r="F306" s="26" t="s">
        <v>316</v>
      </c>
      <c r="G306" s="26" t="s">
        <v>83</v>
      </c>
      <c r="H306" s="30">
        <v>28400.0</v>
      </c>
      <c r="I306" s="30">
        <v>38.5</v>
      </c>
      <c r="J306" s="28" t="s">
        <v>31</v>
      </c>
      <c r="K306" s="28">
        <v>26.0</v>
      </c>
      <c r="L306" s="26" t="str">
        <f t="shared" si="1"/>
        <v>Alto</v>
      </c>
      <c r="M306" s="31" t="str">
        <f t="shared" si="2"/>
        <v>Aceito</v>
      </c>
      <c r="N306" s="31" t="str">
        <f t="shared" si="3"/>
        <v>Positiva</v>
      </c>
      <c r="O306" s="32">
        <v>51000.0</v>
      </c>
      <c r="P306" s="32">
        <f t="shared" si="4"/>
        <v>55080</v>
      </c>
      <c r="Q306" s="26">
        <f t="shared" si="5"/>
        <v>1</v>
      </c>
    </row>
    <row r="307">
      <c r="A307" s="33" t="s">
        <v>76</v>
      </c>
      <c r="B307" s="33" t="s">
        <v>996</v>
      </c>
      <c r="C307" s="34" t="s">
        <v>997</v>
      </c>
      <c r="D307" s="35">
        <v>50.0</v>
      </c>
      <c r="E307" s="36">
        <v>27916.0</v>
      </c>
      <c r="F307" s="33" t="s">
        <v>270</v>
      </c>
      <c r="G307" s="33" t="s">
        <v>270</v>
      </c>
      <c r="H307" s="37">
        <v>16100.0</v>
      </c>
      <c r="I307" s="37">
        <v>8.0</v>
      </c>
      <c r="J307" s="35" t="s">
        <v>32</v>
      </c>
      <c r="K307" s="35">
        <v>30.0</v>
      </c>
      <c r="L307" s="33" t="str">
        <f t="shared" si="1"/>
        <v>Alto</v>
      </c>
      <c r="M307" s="38" t="str">
        <f t="shared" si="2"/>
        <v>Negado</v>
      </c>
      <c r="N307" s="38" t="str">
        <f t="shared" si="3"/>
        <v>Positiva</v>
      </c>
      <c r="O307" s="39">
        <v>27000.0</v>
      </c>
      <c r="P307" s="35">
        <f t="shared" si="4"/>
        <v>0</v>
      </c>
      <c r="Q307" s="33">
        <f t="shared" si="5"/>
        <v>1</v>
      </c>
    </row>
    <row r="308">
      <c r="A308" s="26" t="s">
        <v>71</v>
      </c>
      <c r="B308" s="26" t="s">
        <v>998</v>
      </c>
      <c r="C308" s="27" t="s">
        <v>999</v>
      </c>
      <c r="D308" s="28">
        <v>36.0</v>
      </c>
      <c r="E308" s="29">
        <v>33188.0</v>
      </c>
      <c r="F308" s="26" t="s">
        <v>136</v>
      </c>
      <c r="G308" s="26" t="s">
        <v>117</v>
      </c>
      <c r="H308" s="30">
        <v>29900.0</v>
      </c>
      <c r="I308" s="30">
        <v>64500.0</v>
      </c>
      <c r="J308" s="28" t="s">
        <v>31</v>
      </c>
      <c r="K308" s="28">
        <v>34.0</v>
      </c>
      <c r="L308" s="26" t="str">
        <f t="shared" si="1"/>
        <v>Alto</v>
      </c>
      <c r="M308" s="31" t="str">
        <f t="shared" si="2"/>
        <v>Aceito</v>
      </c>
      <c r="N308" s="31" t="str">
        <f t="shared" si="3"/>
        <v>Positiva</v>
      </c>
      <c r="O308" s="32">
        <v>48500.0</v>
      </c>
      <c r="P308" s="32">
        <f t="shared" si="4"/>
        <v>52380</v>
      </c>
      <c r="Q308" s="26">
        <f t="shared" si="5"/>
        <v>1</v>
      </c>
    </row>
    <row r="309">
      <c r="A309" s="33" t="s">
        <v>71</v>
      </c>
      <c r="B309" s="33" t="s">
        <v>1001</v>
      </c>
      <c r="C309" s="34" t="s">
        <v>1002</v>
      </c>
      <c r="D309" s="35">
        <v>39.0</v>
      </c>
      <c r="E309" s="36">
        <v>32057.0</v>
      </c>
      <c r="F309" s="33" t="s">
        <v>1174</v>
      </c>
      <c r="G309" s="33" t="s">
        <v>340</v>
      </c>
      <c r="H309" s="37">
        <v>8000.0</v>
      </c>
      <c r="I309" s="37">
        <v>69.0</v>
      </c>
      <c r="J309" s="35" t="s">
        <v>31</v>
      </c>
      <c r="K309" s="35">
        <v>15.0</v>
      </c>
      <c r="L309" s="33" t="str">
        <f t="shared" si="1"/>
        <v>Médio</v>
      </c>
      <c r="M309" s="38" t="str">
        <f t="shared" si="2"/>
        <v>Aceito</v>
      </c>
      <c r="N309" s="38" t="str">
        <f t="shared" si="3"/>
        <v>Positiva</v>
      </c>
      <c r="O309" s="39">
        <v>39500.0</v>
      </c>
      <c r="P309" s="39">
        <f t="shared" si="4"/>
        <v>42660</v>
      </c>
      <c r="Q309" s="33">
        <f t="shared" si="5"/>
        <v>1</v>
      </c>
    </row>
    <row r="310">
      <c r="A310" s="26" t="s">
        <v>71</v>
      </c>
      <c r="B310" s="26" t="s">
        <v>1003</v>
      </c>
      <c r="C310" s="27" t="s">
        <v>1004</v>
      </c>
      <c r="D310" s="28">
        <v>20.0</v>
      </c>
      <c r="E310" s="29">
        <v>39003.0</v>
      </c>
      <c r="F310" s="26" t="s">
        <v>234</v>
      </c>
      <c r="G310" s="26" t="s">
        <v>205</v>
      </c>
      <c r="H310" s="30">
        <v>4000.0</v>
      </c>
      <c r="I310" s="30">
        <v>29.5</v>
      </c>
      <c r="J310" s="28" t="s">
        <v>32</v>
      </c>
      <c r="K310" s="28">
        <v>13.0</v>
      </c>
      <c r="L310" s="26" t="str">
        <f t="shared" si="1"/>
        <v>Médio</v>
      </c>
      <c r="M310" s="31" t="str">
        <f t="shared" si="2"/>
        <v>Aceito</v>
      </c>
      <c r="N310" s="31" t="str">
        <f t="shared" si="3"/>
        <v>Positiva</v>
      </c>
      <c r="O310" s="32">
        <v>5000.0</v>
      </c>
      <c r="P310" s="32">
        <f t="shared" si="4"/>
        <v>5400</v>
      </c>
      <c r="Q310" s="26">
        <f t="shared" si="5"/>
        <v>1</v>
      </c>
    </row>
    <row r="311">
      <c r="A311" s="33" t="s">
        <v>71</v>
      </c>
      <c r="B311" s="33" t="s">
        <v>631</v>
      </c>
      <c r="C311" s="34" t="s">
        <v>632</v>
      </c>
      <c r="D311" s="35">
        <v>64.0</v>
      </c>
      <c r="E311" s="36">
        <v>22776.0</v>
      </c>
      <c r="F311" s="33" t="s">
        <v>136</v>
      </c>
      <c r="G311" s="33" t="s">
        <v>117</v>
      </c>
      <c r="H311" s="37">
        <v>29000.0</v>
      </c>
      <c r="I311" s="37">
        <v>36500.0</v>
      </c>
      <c r="J311" s="35" t="s">
        <v>31</v>
      </c>
      <c r="K311" s="35">
        <v>38.0</v>
      </c>
      <c r="L311" s="33" t="str">
        <f t="shared" si="1"/>
        <v>Alto</v>
      </c>
      <c r="M311" s="38" t="str">
        <f t="shared" si="2"/>
        <v>Aceito</v>
      </c>
      <c r="N311" s="38" t="str">
        <f t="shared" si="3"/>
        <v>Positiva</v>
      </c>
      <c r="O311" s="39">
        <v>68000.0</v>
      </c>
      <c r="P311" s="39">
        <f t="shared" si="4"/>
        <v>73440</v>
      </c>
      <c r="Q311" s="33">
        <f t="shared" si="5"/>
        <v>1</v>
      </c>
    </row>
    <row r="312">
      <c r="A312" s="26" t="s">
        <v>71</v>
      </c>
      <c r="B312" s="26" t="s">
        <v>1008</v>
      </c>
      <c r="C312" s="27">
        <v>17900.0</v>
      </c>
      <c r="D312" s="28">
        <v>44.0</v>
      </c>
      <c r="E312" s="29">
        <v>30196.0</v>
      </c>
      <c r="F312" s="26" t="s">
        <v>316</v>
      </c>
      <c r="G312" s="26" t="s">
        <v>340</v>
      </c>
      <c r="H312" s="30">
        <v>6700.0</v>
      </c>
      <c r="I312" s="30">
        <v>16500.0</v>
      </c>
      <c r="J312" s="28" t="s">
        <v>32</v>
      </c>
      <c r="K312" s="28">
        <v>38.0</v>
      </c>
      <c r="L312" s="26" t="str">
        <f t="shared" si="1"/>
        <v>Alto</v>
      </c>
      <c r="M312" s="31" t="str">
        <f t="shared" si="2"/>
        <v>Negado</v>
      </c>
      <c r="N312" s="31" t="str">
        <f t="shared" si="3"/>
        <v>Positiva</v>
      </c>
      <c r="O312" s="32">
        <v>15500.0</v>
      </c>
      <c r="P312" s="32">
        <f t="shared" si="4"/>
        <v>16740</v>
      </c>
      <c r="Q312" s="26">
        <f t="shared" si="5"/>
        <v>1</v>
      </c>
    </row>
    <row r="313">
      <c r="A313" s="33" t="s">
        <v>76</v>
      </c>
      <c r="B313" s="33" t="s">
        <v>934</v>
      </c>
      <c r="C313" s="34" t="s">
        <v>1009</v>
      </c>
      <c r="D313" s="35">
        <v>26.0</v>
      </c>
      <c r="E313" s="36">
        <v>36671.0</v>
      </c>
      <c r="F313" s="33" t="s">
        <v>78</v>
      </c>
      <c r="G313" s="33" t="s">
        <v>79</v>
      </c>
      <c r="H313" s="37">
        <v>25000.0</v>
      </c>
      <c r="I313" s="37">
        <v>1000.0</v>
      </c>
      <c r="J313" s="35" t="s">
        <v>31</v>
      </c>
      <c r="K313" s="35">
        <v>16.0</v>
      </c>
      <c r="L313" s="33" t="str">
        <f t="shared" si="1"/>
        <v>Médio</v>
      </c>
      <c r="M313" s="38" t="str">
        <f t="shared" si="2"/>
        <v>Aceito</v>
      </c>
      <c r="N313" s="38" t="str">
        <f t="shared" si="3"/>
        <v>Positiva</v>
      </c>
      <c r="O313" s="39">
        <v>10500.0</v>
      </c>
      <c r="P313" s="35">
        <f t="shared" si="4"/>
        <v>0</v>
      </c>
      <c r="Q313" s="33">
        <f t="shared" si="5"/>
        <v>1</v>
      </c>
    </row>
    <row r="314">
      <c r="A314" s="26" t="s">
        <v>71</v>
      </c>
      <c r="B314" s="26" t="s">
        <v>1176</v>
      </c>
      <c r="C314" s="27">
        <v>25200.0</v>
      </c>
      <c r="D314" s="28">
        <v>44.0</v>
      </c>
      <c r="E314" s="29">
        <v>30229.0</v>
      </c>
      <c r="F314" s="26" t="s">
        <v>136</v>
      </c>
      <c r="G314" s="26" t="s">
        <v>117</v>
      </c>
      <c r="H314" s="30">
        <v>9600.0</v>
      </c>
      <c r="I314" s="30">
        <v>66.0</v>
      </c>
      <c r="J314" s="28" t="s">
        <v>109</v>
      </c>
      <c r="K314" s="28">
        <v>11.0</v>
      </c>
      <c r="L314" s="26" t="str">
        <f t="shared" si="1"/>
        <v>Médio</v>
      </c>
      <c r="M314" s="31" t="str">
        <f t="shared" si="2"/>
        <v>Aceito</v>
      </c>
      <c r="N314" s="31" t="str">
        <f t="shared" si="3"/>
        <v>Positiva</v>
      </c>
      <c r="O314" s="32">
        <v>4500.0</v>
      </c>
      <c r="P314" s="32">
        <f t="shared" si="4"/>
        <v>4860</v>
      </c>
      <c r="Q314" s="26">
        <f t="shared" si="5"/>
        <v>1</v>
      </c>
    </row>
    <row r="315">
      <c r="A315" s="33" t="s">
        <v>76</v>
      </c>
      <c r="B315" s="33" t="s">
        <v>1177</v>
      </c>
      <c r="C315" s="34">
        <v>29900.0</v>
      </c>
      <c r="D315" s="35">
        <v>127.0</v>
      </c>
      <c r="E315" s="36">
        <v>0.0</v>
      </c>
      <c r="F315" s="33" t="s">
        <v>203</v>
      </c>
      <c r="G315" s="33" t="s">
        <v>205</v>
      </c>
      <c r="H315" s="37">
        <v>21300.0</v>
      </c>
      <c r="I315" s="37">
        <v>60500.0</v>
      </c>
      <c r="J315" s="35" t="s">
        <v>109</v>
      </c>
      <c r="K315" s="35">
        <v>15.0</v>
      </c>
      <c r="L315" s="33" t="str">
        <f t="shared" si="1"/>
        <v>Médio</v>
      </c>
      <c r="M315" s="38" t="str">
        <f t="shared" si="2"/>
        <v>Aceito</v>
      </c>
      <c r="N315" s="38" t="str">
        <f t="shared" si="3"/>
        <v>Positiva</v>
      </c>
      <c r="O315" s="39">
        <v>74500.0</v>
      </c>
      <c r="P315" s="35">
        <f t="shared" si="4"/>
        <v>0</v>
      </c>
      <c r="Q315" s="33">
        <f t="shared" si="5"/>
        <v>1</v>
      </c>
    </row>
    <row r="316">
      <c r="A316" s="26" t="s">
        <v>71</v>
      </c>
      <c r="B316" s="26" t="s">
        <v>1012</v>
      </c>
      <c r="C316" s="27" t="s">
        <v>1013</v>
      </c>
      <c r="D316" s="28">
        <v>69.0</v>
      </c>
      <c r="E316" s="29">
        <v>21054.0</v>
      </c>
      <c r="F316" s="26" t="s">
        <v>258</v>
      </c>
      <c r="G316" s="26" t="s">
        <v>222</v>
      </c>
      <c r="H316" s="30">
        <v>23800.0</v>
      </c>
      <c r="I316" s="30" t="s">
        <v>84</v>
      </c>
      <c r="J316" s="28" t="s">
        <v>109</v>
      </c>
      <c r="K316" s="28">
        <v>26.0</v>
      </c>
      <c r="L316" s="26" t="str">
        <f t="shared" si="1"/>
        <v>Alto</v>
      </c>
      <c r="M316" s="31" t="str">
        <f t="shared" si="2"/>
        <v>Aceito</v>
      </c>
      <c r="N316" s="31" t="str">
        <f t="shared" si="3"/>
        <v>Positiva</v>
      </c>
      <c r="O316" s="32">
        <v>89000.0</v>
      </c>
      <c r="P316" s="32">
        <f t="shared" si="4"/>
        <v>96120</v>
      </c>
      <c r="Q316" s="26">
        <f t="shared" si="5"/>
        <v>1</v>
      </c>
    </row>
    <row r="317">
      <c r="A317" s="33" t="s">
        <v>71</v>
      </c>
      <c r="B317" s="33" t="s">
        <v>1014</v>
      </c>
      <c r="C317" s="34" t="s">
        <v>1015</v>
      </c>
      <c r="D317" s="35">
        <v>68.0</v>
      </c>
      <c r="E317" s="36">
        <v>21522.0</v>
      </c>
      <c r="F317" s="33" t="s">
        <v>428</v>
      </c>
      <c r="G317" s="33" t="s">
        <v>79</v>
      </c>
      <c r="H317" s="37">
        <v>11300.0</v>
      </c>
      <c r="I317" s="37">
        <v>49500.0</v>
      </c>
      <c r="J317" s="35" t="s">
        <v>31</v>
      </c>
      <c r="K317" s="35">
        <v>12.0</v>
      </c>
      <c r="L317" s="33" t="str">
        <f t="shared" si="1"/>
        <v>Médio</v>
      </c>
      <c r="M317" s="38" t="str">
        <f t="shared" si="2"/>
        <v>Aceito</v>
      </c>
      <c r="N317" s="38" t="str">
        <f t="shared" si="3"/>
        <v>Positiva</v>
      </c>
      <c r="O317" s="39">
        <v>34500.0</v>
      </c>
      <c r="P317" s="39">
        <f t="shared" si="4"/>
        <v>37260</v>
      </c>
      <c r="Q317" s="33">
        <f t="shared" si="5"/>
        <v>1</v>
      </c>
    </row>
    <row r="318">
      <c r="A318" s="26" t="s">
        <v>71</v>
      </c>
      <c r="B318" s="26" t="s">
        <v>1016</v>
      </c>
      <c r="C318" s="27" t="s">
        <v>1017</v>
      </c>
      <c r="D318" s="28">
        <v>52.0</v>
      </c>
      <c r="E318" s="29">
        <v>27378.0</v>
      </c>
      <c r="F318" s="26" t="s">
        <v>270</v>
      </c>
      <c r="G318" s="26" t="s">
        <v>270</v>
      </c>
      <c r="H318" s="30">
        <v>11600.0</v>
      </c>
      <c r="I318" s="30">
        <v>41000.0</v>
      </c>
      <c r="J318" s="28" t="s">
        <v>31</v>
      </c>
      <c r="K318" s="28">
        <v>7.0</v>
      </c>
      <c r="L318" s="26" t="str">
        <f t="shared" si="1"/>
        <v>Baixo</v>
      </c>
      <c r="M318" s="31" t="str">
        <f t="shared" si="2"/>
        <v>Aceito</v>
      </c>
      <c r="N318" s="31" t="str">
        <f t="shared" si="3"/>
        <v>Positiva</v>
      </c>
      <c r="O318" s="32">
        <v>67000.0</v>
      </c>
      <c r="P318" s="32">
        <f t="shared" si="4"/>
        <v>72360</v>
      </c>
      <c r="Q318" s="26">
        <f t="shared" si="5"/>
        <v>1</v>
      </c>
    </row>
    <row r="319">
      <c r="A319" s="33" t="s">
        <v>71</v>
      </c>
      <c r="B319" s="33" t="s">
        <v>1022</v>
      </c>
      <c r="C319" s="34" t="s">
        <v>1023</v>
      </c>
      <c r="D319" s="35">
        <v>50.0</v>
      </c>
      <c r="E319" s="36">
        <v>27830.0</v>
      </c>
      <c r="F319" s="33" t="s">
        <v>100</v>
      </c>
      <c r="G319" s="33" t="s">
        <v>88</v>
      </c>
      <c r="H319" s="37">
        <v>29800.0</v>
      </c>
      <c r="I319" s="37">
        <v>54.5</v>
      </c>
      <c r="J319" s="35" t="s">
        <v>31</v>
      </c>
      <c r="K319" s="35">
        <v>34.0</v>
      </c>
      <c r="L319" s="33" t="str">
        <f t="shared" si="1"/>
        <v>Alto</v>
      </c>
      <c r="M319" s="38" t="str">
        <f t="shared" si="2"/>
        <v>Aceito</v>
      </c>
      <c r="N319" s="38" t="str">
        <f t="shared" si="3"/>
        <v>Positiva</v>
      </c>
      <c r="O319" s="39">
        <v>72000.0</v>
      </c>
      <c r="P319" s="39">
        <f t="shared" si="4"/>
        <v>77760</v>
      </c>
      <c r="Q319" s="33">
        <f t="shared" si="5"/>
        <v>1</v>
      </c>
    </row>
    <row r="320">
      <c r="A320" s="26" t="s">
        <v>76</v>
      </c>
      <c r="B320" s="26" t="s">
        <v>600</v>
      </c>
      <c r="C320" s="27" t="s">
        <v>1024</v>
      </c>
      <c r="D320" s="28">
        <v>20.0</v>
      </c>
      <c r="E320" s="29">
        <v>38957.0</v>
      </c>
      <c r="F320" s="26" t="s">
        <v>246</v>
      </c>
      <c r="G320" s="26" t="s">
        <v>205</v>
      </c>
      <c r="H320" s="30">
        <v>18200.0</v>
      </c>
      <c r="I320" s="30" t="s">
        <v>84</v>
      </c>
      <c r="J320" s="28" t="s">
        <v>31</v>
      </c>
      <c r="K320" s="28">
        <v>21.0</v>
      </c>
      <c r="L320" s="26" t="str">
        <f t="shared" si="1"/>
        <v>Médio</v>
      </c>
      <c r="M320" s="31" t="str">
        <f t="shared" si="2"/>
        <v>Aceito</v>
      </c>
      <c r="N320" s="31" t="str">
        <f t="shared" si="3"/>
        <v>Positiva</v>
      </c>
      <c r="O320" s="32">
        <v>61500.0</v>
      </c>
      <c r="P320" s="28">
        <f t="shared" si="4"/>
        <v>0</v>
      </c>
      <c r="Q320" s="26">
        <f t="shared" si="5"/>
        <v>1</v>
      </c>
    </row>
    <row r="321">
      <c r="A321" s="33" t="s">
        <v>76</v>
      </c>
      <c r="B321" s="33" t="s">
        <v>854</v>
      </c>
      <c r="C321" s="34">
        <v>19300.0</v>
      </c>
      <c r="D321" s="35">
        <v>74.0</v>
      </c>
      <c r="E321" s="36">
        <v>19131.0</v>
      </c>
      <c r="F321" s="33" t="s">
        <v>316</v>
      </c>
      <c r="G321" s="33" t="s">
        <v>83</v>
      </c>
      <c r="H321" s="37">
        <v>20700.0</v>
      </c>
      <c r="I321" s="37">
        <v>17500.0</v>
      </c>
      <c r="J321" s="35" t="s">
        <v>31</v>
      </c>
      <c r="K321" s="35">
        <v>35.0</v>
      </c>
      <c r="L321" s="33" t="str">
        <f t="shared" si="1"/>
        <v>Alto</v>
      </c>
      <c r="M321" s="38" t="str">
        <f t="shared" si="2"/>
        <v>Aceito</v>
      </c>
      <c r="N321" s="38" t="str">
        <f t="shared" si="3"/>
        <v>Positiva</v>
      </c>
      <c r="O321" s="39">
        <v>68500.0</v>
      </c>
      <c r="P321" s="35">
        <f t="shared" si="4"/>
        <v>0</v>
      </c>
      <c r="Q321" s="33">
        <f t="shared" si="5"/>
        <v>1</v>
      </c>
    </row>
    <row r="322">
      <c r="A322" s="26" t="s">
        <v>76</v>
      </c>
      <c r="B322" s="26" t="s">
        <v>828</v>
      </c>
      <c r="C322" s="27">
        <v>6400.0</v>
      </c>
      <c r="D322" s="28">
        <v>57.0</v>
      </c>
      <c r="E322" s="29">
        <v>25206.0</v>
      </c>
      <c r="F322" s="26" t="s">
        <v>193</v>
      </c>
      <c r="G322" s="26" t="s">
        <v>195</v>
      </c>
      <c r="H322" s="30">
        <v>3400.0</v>
      </c>
      <c r="I322" s="30">
        <v>23500.0</v>
      </c>
      <c r="J322" s="28" t="s">
        <v>31</v>
      </c>
      <c r="K322" s="28">
        <v>20.0</v>
      </c>
      <c r="L322" s="26" t="str">
        <f t="shared" si="1"/>
        <v>Médio</v>
      </c>
      <c r="M322" s="31" t="str">
        <f t="shared" si="2"/>
        <v>Aceito</v>
      </c>
      <c r="N322" s="31" t="str">
        <f t="shared" si="3"/>
        <v>Positiva</v>
      </c>
      <c r="O322" s="32">
        <v>50500.0</v>
      </c>
      <c r="P322" s="28">
        <f t="shared" si="4"/>
        <v>0</v>
      </c>
      <c r="Q322" s="26">
        <f t="shared" si="5"/>
        <v>1</v>
      </c>
    </row>
    <row r="323">
      <c r="A323" s="33" t="s">
        <v>71</v>
      </c>
      <c r="B323" s="33" t="s">
        <v>576</v>
      </c>
      <c r="C323" s="34" t="s">
        <v>577</v>
      </c>
      <c r="D323" s="35">
        <v>56.0</v>
      </c>
      <c r="E323" s="36">
        <v>25671.0</v>
      </c>
      <c r="F323" s="33" t="s">
        <v>253</v>
      </c>
      <c r="G323" s="33" t="s">
        <v>195</v>
      </c>
      <c r="H323" s="37">
        <v>28300.0</v>
      </c>
      <c r="I323" s="37">
        <v>56000.0</v>
      </c>
      <c r="J323" s="35" t="s">
        <v>31</v>
      </c>
      <c r="K323" s="35">
        <v>6.0</v>
      </c>
      <c r="L323" s="33" t="str">
        <f t="shared" si="1"/>
        <v>Baixo</v>
      </c>
      <c r="M323" s="38" t="str">
        <f t="shared" si="2"/>
        <v>Aceito</v>
      </c>
      <c r="N323" s="38" t="str">
        <f t="shared" si="3"/>
        <v>Positiva</v>
      </c>
      <c r="O323" s="39">
        <v>84500.0</v>
      </c>
      <c r="P323" s="39">
        <f t="shared" si="4"/>
        <v>91260</v>
      </c>
      <c r="Q323" s="33">
        <f t="shared" si="5"/>
        <v>1</v>
      </c>
    </row>
    <row r="324">
      <c r="A324" s="26" t="s">
        <v>71</v>
      </c>
      <c r="B324" s="26" t="s">
        <v>1026</v>
      </c>
      <c r="C324" s="27" t="s">
        <v>1027</v>
      </c>
      <c r="D324" s="28">
        <v>69.0</v>
      </c>
      <c r="E324" s="29">
        <v>21145.0</v>
      </c>
      <c r="F324" s="26" t="s">
        <v>78</v>
      </c>
      <c r="G324" s="26" t="s">
        <v>79</v>
      </c>
      <c r="H324" s="30">
        <v>24500.0</v>
      </c>
      <c r="I324" s="30">
        <v>16500.0</v>
      </c>
      <c r="J324" s="28" t="s">
        <v>31</v>
      </c>
      <c r="K324" s="28">
        <v>22.0</v>
      </c>
      <c r="L324" s="26" t="str">
        <f t="shared" si="1"/>
        <v>Médio</v>
      </c>
      <c r="M324" s="31" t="str">
        <f t="shared" si="2"/>
        <v>Aceito</v>
      </c>
      <c r="N324" s="31" t="str">
        <f t="shared" si="3"/>
        <v>Positiva</v>
      </c>
      <c r="O324" s="32">
        <v>34500.0</v>
      </c>
      <c r="P324" s="32">
        <f t="shared" si="4"/>
        <v>37260</v>
      </c>
      <c r="Q324" s="26">
        <f t="shared" si="5"/>
        <v>1</v>
      </c>
    </row>
    <row r="325">
      <c r="A325" s="33" t="s">
        <v>71</v>
      </c>
      <c r="B325" s="33" t="s">
        <v>1178</v>
      </c>
      <c r="C325" s="34" t="s">
        <v>1030</v>
      </c>
      <c r="D325" s="35">
        <v>127.0</v>
      </c>
      <c r="E325" s="36">
        <v>0.0</v>
      </c>
      <c r="F325" s="33" t="s">
        <v>203</v>
      </c>
      <c r="G325" s="33" t="s">
        <v>205</v>
      </c>
      <c r="H325" s="37">
        <v>19900.0</v>
      </c>
      <c r="I325" s="37">
        <v>47000.0</v>
      </c>
      <c r="J325" s="35" t="s">
        <v>31</v>
      </c>
      <c r="K325" s="35">
        <v>19.0</v>
      </c>
      <c r="L325" s="33" t="str">
        <f t="shared" si="1"/>
        <v>Médio</v>
      </c>
      <c r="M325" s="38" t="str">
        <f t="shared" si="2"/>
        <v>Aceito</v>
      </c>
      <c r="N325" s="38" t="str">
        <f t="shared" si="3"/>
        <v>Positiva</v>
      </c>
      <c r="O325" s="39">
        <v>20500.0</v>
      </c>
      <c r="P325" s="39">
        <f t="shared" si="4"/>
        <v>22140</v>
      </c>
      <c r="Q325" s="33">
        <f t="shared" si="5"/>
        <v>1</v>
      </c>
    </row>
    <row r="326">
      <c r="A326" s="26" t="s">
        <v>76</v>
      </c>
      <c r="B326" s="26" t="s">
        <v>1032</v>
      </c>
      <c r="C326" s="27" t="s">
        <v>1033</v>
      </c>
      <c r="D326" s="28">
        <v>68.0</v>
      </c>
      <c r="E326" s="29">
        <v>21408.0</v>
      </c>
      <c r="F326" s="26" t="s">
        <v>87</v>
      </c>
      <c r="G326" s="26" t="s">
        <v>340</v>
      </c>
      <c r="H326" s="30">
        <v>21600.0</v>
      </c>
      <c r="I326" s="30">
        <v>73500.0</v>
      </c>
      <c r="J326" s="28" t="s">
        <v>32</v>
      </c>
      <c r="K326" s="28">
        <v>7.0</v>
      </c>
      <c r="L326" s="26" t="str">
        <f t="shared" si="1"/>
        <v>Baixo</v>
      </c>
      <c r="M326" s="31" t="str">
        <f t="shared" si="2"/>
        <v>Aceito</v>
      </c>
      <c r="N326" s="31" t="str">
        <f t="shared" si="3"/>
        <v>Negativa</v>
      </c>
      <c r="O326" s="32">
        <v>24500.0</v>
      </c>
      <c r="P326" s="28">
        <f t="shared" si="4"/>
        <v>0</v>
      </c>
      <c r="Q326" s="26">
        <f t="shared" si="5"/>
        <v>1</v>
      </c>
    </row>
    <row r="327">
      <c r="A327" s="33" t="s">
        <v>71</v>
      </c>
      <c r="B327" s="33" t="s">
        <v>1035</v>
      </c>
      <c r="C327" s="34" t="s">
        <v>1036</v>
      </c>
      <c r="D327" s="35">
        <v>55.0</v>
      </c>
      <c r="E327" s="36">
        <v>26230.0</v>
      </c>
      <c r="F327" s="33" t="s">
        <v>246</v>
      </c>
      <c r="G327" s="33" t="s">
        <v>205</v>
      </c>
      <c r="H327" s="37">
        <v>18700.0</v>
      </c>
      <c r="I327" s="37">
        <v>46000.0</v>
      </c>
      <c r="J327" s="35" t="s">
        <v>32</v>
      </c>
      <c r="K327" s="35">
        <v>4.0</v>
      </c>
      <c r="L327" s="33" t="str">
        <f t="shared" si="1"/>
        <v>Baixo</v>
      </c>
      <c r="M327" s="38" t="str">
        <f t="shared" si="2"/>
        <v>Aceito</v>
      </c>
      <c r="N327" s="38" t="str">
        <f t="shared" si="3"/>
        <v>Positiva</v>
      </c>
      <c r="O327" s="39">
        <v>27500.0</v>
      </c>
      <c r="P327" s="39">
        <f t="shared" si="4"/>
        <v>29700</v>
      </c>
      <c r="Q327" s="33">
        <f t="shared" si="5"/>
        <v>1</v>
      </c>
    </row>
    <row r="328">
      <c r="A328" s="26" t="s">
        <v>76</v>
      </c>
      <c r="B328" s="26" t="s">
        <v>619</v>
      </c>
      <c r="C328" s="27">
        <v>36900.0</v>
      </c>
      <c r="D328" s="28">
        <v>61.0</v>
      </c>
      <c r="E328" s="29">
        <v>23928.0</v>
      </c>
      <c r="F328" s="26" t="s">
        <v>428</v>
      </c>
      <c r="G328" s="26" t="s">
        <v>79</v>
      </c>
      <c r="H328" s="30">
        <v>22900.0</v>
      </c>
      <c r="I328" s="30">
        <v>7500.0</v>
      </c>
      <c r="J328" s="28" t="s">
        <v>31</v>
      </c>
      <c r="K328" s="28">
        <v>12.0</v>
      </c>
      <c r="L328" s="26" t="str">
        <f t="shared" si="1"/>
        <v>Médio</v>
      </c>
      <c r="M328" s="31" t="str">
        <f t="shared" si="2"/>
        <v>Aceito</v>
      </c>
      <c r="N328" s="31" t="str">
        <f t="shared" si="3"/>
        <v>Positiva</v>
      </c>
      <c r="O328" s="32">
        <v>33000.0</v>
      </c>
      <c r="P328" s="28">
        <f t="shared" si="4"/>
        <v>0</v>
      </c>
      <c r="Q328" s="26">
        <f t="shared" si="5"/>
        <v>1</v>
      </c>
    </row>
    <row r="329">
      <c r="A329" s="33" t="s">
        <v>71</v>
      </c>
      <c r="B329" s="33" t="s">
        <v>1032</v>
      </c>
      <c r="C329" s="34" t="s">
        <v>1038</v>
      </c>
      <c r="D329" s="35">
        <v>61.0</v>
      </c>
      <c r="E329" s="36">
        <v>23965.0</v>
      </c>
      <c r="F329" s="33" t="s">
        <v>74</v>
      </c>
      <c r="G329" s="33" t="s">
        <v>75</v>
      </c>
      <c r="H329" s="37">
        <v>22600.0</v>
      </c>
      <c r="I329" s="37">
        <v>80000.0</v>
      </c>
      <c r="J329" s="35" t="s">
        <v>31</v>
      </c>
      <c r="K329" s="35">
        <v>9.0</v>
      </c>
      <c r="L329" s="33" t="str">
        <f t="shared" si="1"/>
        <v>Baixo</v>
      </c>
      <c r="M329" s="38" t="str">
        <f t="shared" si="2"/>
        <v>Aceito</v>
      </c>
      <c r="N329" s="38" t="str">
        <f t="shared" si="3"/>
        <v>Positiva</v>
      </c>
      <c r="O329" s="39">
        <v>58500.0</v>
      </c>
      <c r="P329" s="39">
        <f t="shared" si="4"/>
        <v>63180</v>
      </c>
      <c r="Q329" s="33">
        <f t="shared" si="5"/>
        <v>1</v>
      </c>
    </row>
    <row r="330">
      <c r="A330" s="26" t="s">
        <v>76</v>
      </c>
      <c r="B330" s="26" t="s">
        <v>471</v>
      </c>
      <c r="C330" s="27">
        <v>36000.0</v>
      </c>
      <c r="D330" s="28">
        <v>26.0</v>
      </c>
      <c r="E330" s="29">
        <v>36573.0</v>
      </c>
      <c r="F330" s="26" t="s">
        <v>1173</v>
      </c>
      <c r="G330" s="26" t="s">
        <v>340</v>
      </c>
      <c r="H330" s="30">
        <v>4800.0</v>
      </c>
      <c r="I330" s="30">
        <v>48500.0</v>
      </c>
      <c r="J330" s="28" t="s">
        <v>32</v>
      </c>
      <c r="K330" s="28">
        <v>6.0</v>
      </c>
      <c r="L330" s="26" t="str">
        <f t="shared" si="1"/>
        <v>Baixo</v>
      </c>
      <c r="M330" s="31" t="str">
        <f t="shared" si="2"/>
        <v>Aceito</v>
      </c>
      <c r="N330" s="31" t="str">
        <f t="shared" si="3"/>
        <v>Positiva</v>
      </c>
      <c r="O330" s="32">
        <v>56500.0</v>
      </c>
      <c r="P330" s="28">
        <f t="shared" si="4"/>
        <v>0</v>
      </c>
      <c r="Q330" s="26">
        <f t="shared" si="5"/>
        <v>1</v>
      </c>
    </row>
    <row r="331">
      <c r="A331" s="33" t="s">
        <v>71</v>
      </c>
      <c r="B331" s="33" t="s">
        <v>1043</v>
      </c>
      <c r="C331" s="34">
        <v>32500.0</v>
      </c>
      <c r="D331" s="35">
        <v>49.0</v>
      </c>
      <c r="E331" s="36">
        <v>28446.0</v>
      </c>
      <c r="F331" s="33" t="s">
        <v>82</v>
      </c>
      <c r="G331" s="33" t="s">
        <v>83</v>
      </c>
      <c r="H331" s="37">
        <v>6900.0</v>
      </c>
      <c r="I331" s="37">
        <v>52500.0</v>
      </c>
      <c r="J331" s="35" t="s">
        <v>32</v>
      </c>
      <c r="K331" s="35">
        <v>0.0</v>
      </c>
      <c r="L331" s="33" t="str">
        <f t="shared" si="1"/>
        <v>Baixo</v>
      </c>
      <c r="M331" s="38" t="str">
        <f t="shared" si="2"/>
        <v>Aceito</v>
      </c>
      <c r="N331" s="38" t="str">
        <f t="shared" si="3"/>
        <v>Negativa</v>
      </c>
      <c r="O331" s="39">
        <v>66000.0</v>
      </c>
      <c r="P331" s="39">
        <f t="shared" si="4"/>
        <v>71280</v>
      </c>
      <c r="Q331" s="33">
        <f t="shared" si="5"/>
        <v>1</v>
      </c>
    </row>
    <row r="332">
      <c r="A332" s="26" t="s">
        <v>71</v>
      </c>
      <c r="B332" s="26" t="s">
        <v>1044</v>
      </c>
      <c r="C332" s="27" t="s">
        <v>1045</v>
      </c>
      <c r="D332" s="28">
        <v>127.0</v>
      </c>
      <c r="E332" s="29">
        <v>0.0</v>
      </c>
      <c r="F332" s="26" t="s">
        <v>428</v>
      </c>
      <c r="G332" s="26" t="s">
        <v>79</v>
      </c>
      <c r="H332" s="30">
        <v>11400.0</v>
      </c>
      <c r="I332" s="30">
        <v>0.0</v>
      </c>
      <c r="J332" s="28" t="s">
        <v>32</v>
      </c>
      <c r="K332" s="28">
        <v>13.0</v>
      </c>
      <c r="L332" s="26" t="str">
        <f t="shared" si="1"/>
        <v>Médio</v>
      </c>
      <c r="M332" s="31" t="str">
        <f t="shared" si="2"/>
        <v>Aceito</v>
      </c>
      <c r="N332" s="31" t="str">
        <f t="shared" si="3"/>
        <v>Positiva</v>
      </c>
      <c r="O332" s="32">
        <v>79000.0</v>
      </c>
      <c r="P332" s="32">
        <f t="shared" si="4"/>
        <v>85320</v>
      </c>
      <c r="Q332" s="26">
        <f t="shared" si="5"/>
        <v>1</v>
      </c>
    </row>
    <row r="333">
      <c r="A333" s="33" t="s">
        <v>71</v>
      </c>
      <c r="B333" s="33" t="s">
        <v>219</v>
      </c>
      <c r="C333" s="34">
        <v>22300.0</v>
      </c>
      <c r="D333" s="35">
        <v>26.0</v>
      </c>
      <c r="E333" s="36">
        <v>36536.0</v>
      </c>
      <c r="F333" s="33" t="s">
        <v>221</v>
      </c>
      <c r="G333" s="33" t="s">
        <v>222</v>
      </c>
      <c r="H333" s="37">
        <v>9400.0</v>
      </c>
      <c r="I333" s="37">
        <v>51500.0</v>
      </c>
      <c r="J333" s="35" t="s">
        <v>31</v>
      </c>
      <c r="K333" s="35">
        <v>14.0</v>
      </c>
      <c r="L333" s="33" t="str">
        <f t="shared" si="1"/>
        <v>Médio</v>
      </c>
      <c r="M333" s="38" t="str">
        <f t="shared" si="2"/>
        <v>Aceito</v>
      </c>
      <c r="N333" s="38" t="str">
        <f t="shared" si="3"/>
        <v>Positiva</v>
      </c>
      <c r="O333" s="39">
        <v>74000.0</v>
      </c>
      <c r="P333" s="39">
        <f t="shared" si="4"/>
        <v>79920</v>
      </c>
      <c r="Q333" s="33">
        <f t="shared" si="5"/>
        <v>1</v>
      </c>
    </row>
    <row r="334">
      <c r="A334" s="26" t="s">
        <v>71</v>
      </c>
      <c r="B334" s="26" t="s">
        <v>1046</v>
      </c>
      <c r="C334" s="27" t="s">
        <v>1047</v>
      </c>
      <c r="D334" s="28">
        <v>63.0</v>
      </c>
      <c r="E334" s="29">
        <v>23317.0</v>
      </c>
      <c r="F334" s="26" t="s">
        <v>255</v>
      </c>
      <c r="G334" s="26" t="s">
        <v>205</v>
      </c>
      <c r="H334" s="30">
        <v>10500.0</v>
      </c>
      <c r="I334" s="30">
        <v>0.0</v>
      </c>
      <c r="J334" s="28" t="s">
        <v>32</v>
      </c>
      <c r="K334" s="28">
        <v>4.0</v>
      </c>
      <c r="L334" s="26" t="str">
        <f t="shared" si="1"/>
        <v>Baixo</v>
      </c>
      <c r="M334" s="31" t="str">
        <f t="shared" si="2"/>
        <v>Aceito</v>
      </c>
      <c r="N334" s="31" t="str">
        <f t="shared" si="3"/>
        <v>Positiva</v>
      </c>
      <c r="O334" s="32">
        <v>54500.0</v>
      </c>
      <c r="P334" s="32">
        <f t="shared" si="4"/>
        <v>58860</v>
      </c>
      <c r="Q334" s="26">
        <f t="shared" si="5"/>
        <v>1</v>
      </c>
    </row>
    <row r="335">
      <c r="A335" s="33" t="s">
        <v>76</v>
      </c>
      <c r="B335" s="33" t="s">
        <v>1048</v>
      </c>
      <c r="C335" s="34">
        <v>25700.0</v>
      </c>
      <c r="D335" s="35">
        <v>28.0</v>
      </c>
      <c r="E335" s="36">
        <v>36152.0</v>
      </c>
      <c r="F335" s="33" t="s">
        <v>258</v>
      </c>
      <c r="G335" s="33" t="s">
        <v>222</v>
      </c>
      <c r="H335" s="37">
        <v>30000.0</v>
      </c>
      <c r="I335" s="37">
        <v>27.0</v>
      </c>
      <c r="J335" s="35" t="s">
        <v>31</v>
      </c>
      <c r="K335" s="35">
        <v>28.0</v>
      </c>
      <c r="L335" s="33" t="str">
        <f t="shared" si="1"/>
        <v>Alto</v>
      </c>
      <c r="M335" s="38" t="str">
        <f t="shared" si="2"/>
        <v>Aceito</v>
      </c>
      <c r="N335" s="38" t="str">
        <f t="shared" si="3"/>
        <v>Positiva</v>
      </c>
      <c r="O335" s="39">
        <v>28500.0</v>
      </c>
      <c r="P335" s="35">
        <f t="shared" si="4"/>
        <v>0</v>
      </c>
      <c r="Q335" s="33">
        <f t="shared" si="5"/>
        <v>1</v>
      </c>
    </row>
    <row r="336">
      <c r="A336" s="26" t="s">
        <v>71</v>
      </c>
      <c r="B336" s="26" t="s">
        <v>1049</v>
      </c>
      <c r="C336" s="27" t="s">
        <v>1050</v>
      </c>
      <c r="D336" s="28">
        <v>31.0</v>
      </c>
      <c r="E336" s="29">
        <v>35006.0</v>
      </c>
      <c r="F336" s="26" t="s">
        <v>93</v>
      </c>
      <c r="G336" s="26" t="s">
        <v>94</v>
      </c>
      <c r="H336" s="30">
        <v>9000.0</v>
      </c>
      <c r="I336" s="30">
        <v>66000.0</v>
      </c>
      <c r="J336" s="28" t="s">
        <v>31</v>
      </c>
      <c r="K336" s="28">
        <v>24.0</v>
      </c>
      <c r="L336" s="26" t="str">
        <f t="shared" si="1"/>
        <v>Médio</v>
      </c>
      <c r="M336" s="31" t="str">
        <f t="shared" si="2"/>
        <v>Aceito</v>
      </c>
      <c r="N336" s="31" t="str">
        <f t="shared" si="3"/>
        <v>Positiva</v>
      </c>
      <c r="O336" s="32">
        <v>72000.0</v>
      </c>
      <c r="P336" s="32">
        <f t="shared" si="4"/>
        <v>77760</v>
      </c>
      <c r="Q336" s="26">
        <f t="shared" si="5"/>
        <v>1</v>
      </c>
    </row>
    <row r="337">
      <c r="A337" s="33" t="s">
        <v>71</v>
      </c>
      <c r="B337" s="33" t="s">
        <v>376</v>
      </c>
      <c r="C337" s="34" t="s">
        <v>1051</v>
      </c>
      <c r="D337" s="35">
        <v>66.0</v>
      </c>
      <c r="E337" s="36">
        <v>22275.0</v>
      </c>
      <c r="F337" s="33" t="s">
        <v>74</v>
      </c>
      <c r="G337" s="33" t="s">
        <v>75</v>
      </c>
      <c r="H337" s="37">
        <v>3300.0</v>
      </c>
      <c r="I337" s="37">
        <v>43500.0</v>
      </c>
      <c r="J337" s="35" t="s">
        <v>31</v>
      </c>
      <c r="K337" s="35">
        <v>27.0</v>
      </c>
      <c r="L337" s="33" t="str">
        <f t="shared" si="1"/>
        <v>Alto</v>
      </c>
      <c r="M337" s="38" t="str">
        <f t="shared" si="2"/>
        <v>Aceito</v>
      </c>
      <c r="N337" s="38" t="str">
        <f t="shared" si="3"/>
        <v>Positiva</v>
      </c>
      <c r="O337" s="39">
        <v>23500.0</v>
      </c>
      <c r="P337" s="39">
        <f t="shared" si="4"/>
        <v>25380</v>
      </c>
      <c r="Q337" s="33">
        <f t="shared" si="5"/>
        <v>1</v>
      </c>
    </row>
    <row r="338">
      <c r="A338" s="26" t="s">
        <v>71</v>
      </c>
      <c r="B338" s="26" t="s">
        <v>1052</v>
      </c>
      <c r="C338" s="27" t="s">
        <v>1054</v>
      </c>
      <c r="D338" s="28">
        <v>30.0</v>
      </c>
      <c r="E338" s="29">
        <v>35392.0</v>
      </c>
      <c r="F338" s="26" t="s">
        <v>342</v>
      </c>
      <c r="G338" s="26" t="s">
        <v>437</v>
      </c>
      <c r="H338" s="30">
        <v>6400.0</v>
      </c>
      <c r="I338" s="30">
        <v>19500.0</v>
      </c>
      <c r="J338" s="28" t="s">
        <v>31</v>
      </c>
      <c r="K338" s="28">
        <v>30.0</v>
      </c>
      <c r="L338" s="26" t="str">
        <f t="shared" si="1"/>
        <v>Alto</v>
      </c>
      <c r="M338" s="31" t="str">
        <f t="shared" si="2"/>
        <v>Aceito</v>
      </c>
      <c r="N338" s="31" t="str">
        <f t="shared" si="3"/>
        <v>Positiva</v>
      </c>
      <c r="O338" s="32">
        <v>51000.0</v>
      </c>
      <c r="P338" s="32">
        <f t="shared" si="4"/>
        <v>55080</v>
      </c>
      <c r="Q338" s="26">
        <f t="shared" si="5"/>
        <v>1</v>
      </c>
    </row>
    <row r="339">
      <c r="A339" s="33" t="s">
        <v>71</v>
      </c>
      <c r="B339" s="33" t="s">
        <v>1057</v>
      </c>
      <c r="C339" s="34" t="s">
        <v>1058</v>
      </c>
      <c r="D339" s="35">
        <v>56.0</v>
      </c>
      <c r="E339" s="36">
        <v>25844.0</v>
      </c>
      <c r="F339" s="33" t="s">
        <v>258</v>
      </c>
      <c r="G339" s="33" t="s">
        <v>222</v>
      </c>
      <c r="H339" s="37">
        <v>17400.0</v>
      </c>
      <c r="I339" s="37">
        <v>75500.0</v>
      </c>
      <c r="J339" s="35" t="s">
        <v>31</v>
      </c>
      <c r="K339" s="35">
        <v>9.0</v>
      </c>
      <c r="L339" s="33" t="str">
        <f t="shared" si="1"/>
        <v>Baixo</v>
      </c>
      <c r="M339" s="38" t="str">
        <f t="shared" si="2"/>
        <v>Aceito</v>
      </c>
      <c r="N339" s="38" t="str">
        <f t="shared" si="3"/>
        <v>Positiva</v>
      </c>
      <c r="O339" s="39">
        <v>52000.0</v>
      </c>
      <c r="P339" s="39">
        <f t="shared" si="4"/>
        <v>56160</v>
      </c>
      <c r="Q339" s="33">
        <f t="shared" si="5"/>
        <v>1</v>
      </c>
    </row>
    <row r="340">
      <c r="A340" s="26" t="s">
        <v>71</v>
      </c>
      <c r="B340" s="26" t="s">
        <v>836</v>
      </c>
      <c r="C340" s="27">
        <v>34000.0</v>
      </c>
      <c r="D340" s="28">
        <v>39.0</v>
      </c>
      <c r="E340" s="29">
        <v>31970.0</v>
      </c>
      <c r="F340" s="26" t="s">
        <v>78</v>
      </c>
      <c r="G340" s="26" t="s">
        <v>79</v>
      </c>
      <c r="H340" s="30">
        <v>15800.0</v>
      </c>
      <c r="I340" s="30">
        <v>14500.0</v>
      </c>
      <c r="J340" s="28" t="s">
        <v>31</v>
      </c>
      <c r="K340" s="28">
        <v>4.0</v>
      </c>
      <c r="L340" s="26" t="str">
        <f t="shared" si="1"/>
        <v>Baixo</v>
      </c>
      <c r="M340" s="31" t="str">
        <f t="shared" si="2"/>
        <v>Aceito</v>
      </c>
      <c r="N340" s="31" t="str">
        <f t="shared" si="3"/>
        <v>Positiva</v>
      </c>
      <c r="O340" s="32">
        <v>21000.0</v>
      </c>
      <c r="P340" s="32">
        <f t="shared" si="4"/>
        <v>22680</v>
      </c>
      <c r="Q340" s="26">
        <f t="shared" si="5"/>
        <v>1</v>
      </c>
    </row>
    <row r="341">
      <c r="A341" s="33" t="s">
        <v>71</v>
      </c>
      <c r="B341" s="33" t="s">
        <v>1060</v>
      </c>
      <c r="C341" s="34">
        <v>2200.0</v>
      </c>
      <c r="D341" s="35">
        <v>58.0</v>
      </c>
      <c r="E341" s="36">
        <v>24840.0</v>
      </c>
      <c r="F341" s="33" t="s">
        <v>342</v>
      </c>
      <c r="G341" s="33" t="s">
        <v>437</v>
      </c>
      <c r="H341" s="37">
        <v>2800.0</v>
      </c>
      <c r="I341" s="37">
        <v>35000.0</v>
      </c>
      <c r="J341" s="35" t="s">
        <v>31</v>
      </c>
      <c r="K341" s="35">
        <v>36.0</v>
      </c>
      <c r="L341" s="33" t="str">
        <f t="shared" si="1"/>
        <v>Alto</v>
      </c>
      <c r="M341" s="38" t="str">
        <f t="shared" si="2"/>
        <v>Aceito</v>
      </c>
      <c r="N341" s="38" t="str">
        <f t="shared" si="3"/>
        <v>Positiva</v>
      </c>
      <c r="O341" s="39">
        <v>9000.0</v>
      </c>
      <c r="P341" s="39">
        <f t="shared" si="4"/>
        <v>9720</v>
      </c>
      <c r="Q341" s="33">
        <f t="shared" si="5"/>
        <v>1</v>
      </c>
    </row>
    <row r="342">
      <c r="A342" s="26" t="s">
        <v>71</v>
      </c>
      <c r="B342" s="26" t="s">
        <v>1063</v>
      </c>
      <c r="C342" s="27" t="s">
        <v>1064</v>
      </c>
      <c r="D342" s="28">
        <v>29.0</v>
      </c>
      <c r="E342" s="29">
        <v>35600.0</v>
      </c>
      <c r="F342" s="26" t="s">
        <v>253</v>
      </c>
      <c r="G342" s="26" t="s">
        <v>195</v>
      </c>
      <c r="H342" s="30">
        <v>9600.0</v>
      </c>
      <c r="I342" s="30">
        <v>41000.0</v>
      </c>
      <c r="J342" s="28" t="s">
        <v>31</v>
      </c>
      <c r="K342" s="28">
        <v>27.0</v>
      </c>
      <c r="L342" s="26" t="str">
        <f t="shared" si="1"/>
        <v>Alto</v>
      </c>
      <c r="M342" s="31" t="str">
        <f t="shared" si="2"/>
        <v>Aceito</v>
      </c>
      <c r="N342" s="31" t="str">
        <f t="shared" si="3"/>
        <v>Positiva</v>
      </c>
      <c r="O342" s="32">
        <v>25000.0</v>
      </c>
      <c r="P342" s="32">
        <f t="shared" si="4"/>
        <v>27000</v>
      </c>
      <c r="Q342" s="26">
        <f t="shared" si="5"/>
        <v>1</v>
      </c>
    </row>
    <row r="343">
      <c r="A343" s="33" t="s">
        <v>340</v>
      </c>
      <c r="B343" s="33" t="s">
        <v>1066</v>
      </c>
      <c r="C343" s="34">
        <v>11600.0</v>
      </c>
      <c r="D343" s="35">
        <v>36.0</v>
      </c>
      <c r="E343" s="36">
        <v>32890.0</v>
      </c>
      <c r="F343" s="33" t="s">
        <v>193</v>
      </c>
      <c r="G343" s="33" t="s">
        <v>195</v>
      </c>
      <c r="H343" s="37">
        <v>28100.0</v>
      </c>
      <c r="I343" s="37">
        <v>36.5</v>
      </c>
      <c r="J343" s="35" t="s">
        <v>31</v>
      </c>
      <c r="K343" s="35">
        <v>13.0</v>
      </c>
      <c r="L343" s="33" t="str">
        <f t="shared" si="1"/>
        <v>Médio</v>
      </c>
      <c r="M343" s="38" t="str">
        <f t="shared" si="2"/>
        <v>Aceito</v>
      </c>
      <c r="N343" s="38" t="str">
        <f t="shared" si="3"/>
        <v>Positiva</v>
      </c>
      <c r="O343" s="39">
        <v>5000.0</v>
      </c>
      <c r="P343" s="35">
        <f t="shared" si="4"/>
        <v>0</v>
      </c>
      <c r="Q343" s="33">
        <f t="shared" si="5"/>
        <v>1</v>
      </c>
    </row>
    <row r="344">
      <c r="A344" s="26" t="s">
        <v>71</v>
      </c>
      <c r="B344" s="26" t="s">
        <v>946</v>
      </c>
      <c r="C344" s="27">
        <v>20300.0</v>
      </c>
      <c r="D344" s="28">
        <v>46.0</v>
      </c>
      <c r="E344" s="29">
        <v>29427.0</v>
      </c>
      <c r="F344" s="26" t="s">
        <v>253</v>
      </c>
      <c r="G344" s="26" t="s">
        <v>195</v>
      </c>
      <c r="H344" s="30">
        <v>0.0</v>
      </c>
      <c r="I344" s="30">
        <v>37500.0</v>
      </c>
      <c r="J344" s="28" t="s">
        <v>31</v>
      </c>
      <c r="K344" s="28"/>
      <c r="L344" s="26" t="str">
        <f t="shared" si="1"/>
        <v>Baixo</v>
      </c>
      <c r="M344" s="31" t="str">
        <f t="shared" si="2"/>
        <v>Aceito</v>
      </c>
      <c r="N344" s="31" t="str">
        <f t="shared" si="3"/>
        <v>Positiva</v>
      </c>
      <c r="O344" s="32">
        <v>77000.0</v>
      </c>
      <c r="P344" s="32">
        <f t="shared" si="4"/>
        <v>83160</v>
      </c>
      <c r="Q344" s="26">
        <f t="shared" si="5"/>
        <v>1</v>
      </c>
    </row>
    <row r="345">
      <c r="A345" s="33" t="s">
        <v>76</v>
      </c>
      <c r="B345" s="33" t="s">
        <v>715</v>
      </c>
      <c r="C345" s="34" t="s">
        <v>505</v>
      </c>
      <c r="D345" s="35">
        <v>30.0</v>
      </c>
      <c r="E345" s="36">
        <v>35200.0</v>
      </c>
      <c r="F345" s="33" t="s">
        <v>136</v>
      </c>
      <c r="G345" s="33" t="s">
        <v>117</v>
      </c>
      <c r="H345" s="37">
        <v>26500.0</v>
      </c>
      <c r="I345" s="37">
        <v>14500.0</v>
      </c>
      <c r="J345" s="35" t="s">
        <v>109</v>
      </c>
      <c r="K345" s="35">
        <v>15.0</v>
      </c>
      <c r="L345" s="33" t="str">
        <f t="shared" si="1"/>
        <v>Médio</v>
      </c>
      <c r="M345" s="38" t="str">
        <f t="shared" si="2"/>
        <v>Aceito</v>
      </c>
      <c r="N345" s="38" t="str">
        <f t="shared" si="3"/>
        <v>Positiva</v>
      </c>
      <c r="O345" s="39">
        <v>39000.0</v>
      </c>
      <c r="P345" s="35">
        <f t="shared" si="4"/>
        <v>0</v>
      </c>
      <c r="Q345" s="33">
        <f t="shared" si="5"/>
        <v>1</v>
      </c>
    </row>
    <row r="346">
      <c r="A346" s="26" t="s">
        <v>71</v>
      </c>
      <c r="B346" s="26" t="s">
        <v>1068</v>
      </c>
      <c r="C346" s="27" t="s">
        <v>1069</v>
      </c>
      <c r="D346" s="28">
        <v>60.0</v>
      </c>
      <c r="E346" s="29">
        <v>24202.0</v>
      </c>
      <c r="F346" s="26" t="s">
        <v>428</v>
      </c>
      <c r="G346" s="26" t="s">
        <v>79</v>
      </c>
      <c r="H346" s="30">
        <v>5500.0</v>
      </c>
      <c r="I346" s="30">
        <v>0.0</v>
      </c>
      <c r="J346" s="28" t="s">
        <v>31</v>
      </c>
      <c r="K346" s="28">
        <v>26.0</v>
      </c>
      <c r="L346" s="26" t="str">
        <f t="shared" si="1"/>
        <v>Alto</v>
      </c>
      <c r="M346" s="31" t="str">
        <f t="shared" si="2"/>
        <v>Aceito</v>
      </c>
      <c r="N346" s="31" t="str">
        <f t="shared" si="3"/>
        <v>Positiva</v>
      </c>
      <c r="O346" s="32">
        <v>52500.0</v>
      </c>
      <c r="P346" s="32">
        <f t="shared" si="4"/>
        <v>56700</v>
      </c>
      <c r="Q346" s="26">
        <f t="shared" si="5"/>
        <v>1</v>
      </c>
    </row>
    <row r="347">
      <c r="A347" s="33" t="s">
        <v>71</v>
      </c>
      <c r="B347" s="33" t="s">
        <v>1070</v>
      </c>
      <c r="C347" s="34" t="s">
        <v>1071</v>
      </c>
      <c r="D347" s="35">
        <v>43.0</v>
      </c>
      <c r="E347" s="36">
        <v>30437.0</v>
      </c>
      <c r="F347" s="33" t="s">
        <v>316</v>
      </c>
      <c r="G347" s="33" t="s">
        <v>83</v>
      </c>
      <c r="H347" s="37">
        <v>14600.0</v>
      </c>
      <c r="I347" s="37">
        <v>18500.0</v>
      </c>
      <c r="J347" s="35" t="s">
        <v>32</v>
      </c>
      <c r="K347" s="35">
        <v>22.0</v>
      </c>
      <c r="L347" s="33" t="str">
        <f t="shared" si="1"/>
        <v>Médio</v>
      </c>
      <c r="M347" s="38" t="str">
        <f t="shared" si="2"/>
        <v>Aceito</v>
      </c>
      <c r="N347" s="38" t="str">
        <f t="shared" si="3"/>
        <v>Positiva</v>
      </c>
      <c r="O347" s="39">
        <v>16500.0</v>
      </c>
      <c r="P347" s="39">
        <f t="shared" si="4"/>
        <v>17820</v>
      </c>
      <c r="Q347" s="33">
        <f t="shared" si="5"/>
        <v>1</v>
      </c>
    </row>
    <row r="348">
      <c r="A348" s="26" t="s">
        <v>71</v>
      </c>
      <c r="B348" s="26" t="s">
        <v>982</v>
      </c>
      <c r="C348" s="27">
        <v>33100.0</v>
      </c>
      <c r="D348" s="28">
        <v>26.0</v>
      </c>
      <c r="E348" s="29">
        <v>36759.0</v>
      </c>
      <c r="F348" s="26" t="s">
        <v>270</v>
      </c>
      <c r="G348" s="26" t="s">
        <v>270</v>
      </c>
      <c r="H348" s="30">
        <v>23200.0</v>
      </c>
      <c r="I348" s="30">
        <v>54500.0</v>
      </c>
      <c r="J348" s="28" t="s">
        <v>32</v>
      </c>
      <c r="K348" s="28">
        <v>26.0</v>
      </c>
      <c r="L348" s="26" t="str">
        <f t="shared" si="1"/>
        <v>Alto</v>
      </c>
      <c r="M348" s="31" t="str">
        <f t="shared" si="2"/>
        <v>Negado</v>
      </c>
      <c r="N348" s="31" t="str">
        <f t="shared" si="3"/>
        <v>Negativa</v>
      </c>
      <c r="O348" s="32">
        <v>39500.0</v>
      </c>
      <c r="P348" s="28">
        <f t="shared" si="4"/>
        <v>0</v>
      </c>
      <c r="Q348" s="26">
        <f t="shared" si="5"/>
        <v>0</v>
      </c>
    </row>
    <row r="349">
      <c r="A349" s="33" t="s">
        <v>71</v>
      </c>
      <c r="B349" s="33" t="s">
        <v>568</v>
      </c>
      <c r="C349" s="34" t="s">
        <v>569</v>
      </c>
      <c r="D349" s="35">
        <v>54.0</v>
      </c>
      <c r="E349" s="36">
        <v>26643.0</v>
      </c>
      <c r="F349" s="33" t="s">
        <v>246</v>
      </c>
      <c r="G349" s="33" t="s">
        <v>205</v>
      </c>
      <c r="H349" s="37">
        <v>12200.0</v>
      </c>
      <c r="I349" s="37">
        <v>79500.0</v>
      </c>
      <c r="J349" s="35" t="s">
        <v>31</v>
      </c>
      <c r="K349" s="35">
        <v>45.0</v>
      </c>
      <c r="L349" s="33" t="str">
        <f t="shared" si="1"/>
        <v>Alto</v>
      </c>
      <c r="M349" s="38" t="str">
        <f t="shared" si="2"/>
        <v>Aceito</v>
      </c>
      <c r="N349" s="38" t="str">
        <f t="shared" si="3"/>
        <v>Positiva</v>
      </c>
      <c r="O349" s="39">
        <v>62000.0</v>
      </c>
      <c r="P349" s="39">
        <f t="shared" si="4"/>
        <v>66960</v>
      </c>
      <c r="Q349" s="33">
        <f t="shared" si="5"/>
        <v>1</v>
      </c>
    </row>
    <row r="350">
      <c r="A350" s="26" t="s">
        <v>71</v>
      </c>
      <c r="B350" s="26" t="s">
        <v>1073</v>
      </c>
      <c r="C350" s="27" t="s">
        <v>1074</v>
      </c>
      <c r="D350" s="28">
        <v>19.0</v>
      </c>
      <c r="E350" s="29">
        <v>39268.0</v>
      </c>
      <c r="F350" s="26" t="s">
        <v>306</v>
      </c>
      <c r="G350" s="26" t="s">
        <v>222</v>
      </c>
      <c r="H350" s="30">
        <v>7200.0</v>
      </c>
      <c r="I350" s="30">
        <v>16000.0</v>
      </c>
      <c r="J350" s="28" t="s">
        <v>31</v>
      </c>
      <c r="K350" s="28">
        <v>5.0</v>
      </c>
      <c r="L350" s="26" t="str">
        <f t="shared" si="1"/>
        <v>Baixo</v>
      </c>
      <c r="M350" s="31" t="str">
        <f t="shared" si="2"/>
        <v>Aceito</v>
      </c>
      <c r="N350" s="31" t="str">
        <f t="shared" si="3"/>
        <v>Positiva</v>
      </c>
      <c r="O350" s="32">
        <v>52000.0</v>
      </c>
      <c r="P350" s="32">
        <f t="shared" si="4"/>
        <v>56160</v>
      </c>
      <c r="Q350" s="26">
        <f t="shared" si="5"/>
        <v>1</v>
      </c>
    </row>
    <row r="351">
      <c r="A351" s="33" t="s">
        <v>76</v>
      </c>
      <c r="B351" s="33" t="s">
        <v>1075</v>
      </c>
      <c r="C351" s="34">
        <v>11700.0</v>
      </c>
      <c r="D351" s="35">
        <v>28.0</v>
      </c>
      <c r="E351" s="36">
        <v>36151.0</v>
      </c>
      <c r="F351" s="33" t="s">
        <v>255</v>
      </c>
      <c r="G351" s="33" t="s">
        <v>205</v>
      </c>
      <c r="H351" s="37">
        <v>25900.0</v>
      </c>
      <c r="I351" s="37">
        <v>0.0</v>
      </c>
      <c r="J351" s="35" t="s">
        <v>32</v>
      </c>
      <c r="K351" s="35">
        <v>10.0</v>
      </c>
      <c r="L351" s="33" t="str">
        <f t="shared" si="1"/>
        <v>Baixo</v>
      </c>
      <c r="M351" s="38" t="str">
        <f t="shared" si="2"/>
        <v>Aceito</v>
      </c>
      <c r="N351" s="38" t="str">
        <f t="shared" si="3"/>
        <v>Positiva</v>
      </c>
      <c r="O351" s="39">
        <v>5000.0</v>
      </c>
      <c r="P351" s="35">
        <f t="shared" si="4"/>
        <v>0</v>
      </c>
      <c r="Q351" s="33">
        <f t="shared" si="5"/>
        <v>1</v>
      </c>
    </row>
    <row r="352">
      <c r="A352" s="26" t="s">
        <v>71</v>
      </c>
      <c r="B352" s="26" t="s">
        <v>1078</v>
      </c>
      <c r="C352" s="27" t="s">
        <v>1079</v>
      </c>
      <c r="D352" s="28">
        <v>45.0</v>
      </c>
      <c r="E352" s="29">
        <v>29892.0</v>
      </c>
      <c r="F352" s="26" t="s">
        <v>93</v>
      </c>
      <c r="G352" s="26" t="s">
        <v>94</v>
      </c>
      <c r="H352" s="30">
        <v>20600.0</v>
      </c>
      <c r="I352" s="30">
        <v>8000.0</v>
      </c>
      <c r="J352" s="28" t="s">
        <v>31</v>
      </c>
      <c r="K352" s="28">
        <v>39.0</v>
      </c>
      <c r="L352" s="26" t="str">
        <f t="shared" si="1"/>
        <v>Alto</v>
      </c>
      <c r="M352" s="31" t="str">
        <f t="shared" si="2"/>
        <v>Aceito</v>
      </c>
      <c r="N352" s="31" t="str">
        <f t="shared" si="3"/>
        <v>Positiva</v>
      </c>
      <c r="O352" s="32">
        <v>36000.0</v>
      </c>
      <c r="P352" s="32">
        <f t="shared" si="4"/>
        <v>38880</v>
      </c>
      <c r="Q352" s="26">
        <f t="shared" si="5"/>
        <v>1</v>
      </c>
    </row>
    <row r="353">
      <c r="A353" s="33" t="s">
        <v>76</v>
      </c>
      <c r="B353" s="33" t="s">
        <v>1080</v>
      </c>
      <c r="C353" s="34" t="s">
        <v>1081</v>
      </c>
      <c r="D353" s="35">
        <v>48.0</v>
      </c>
      <c r="E353" s="36">
        <v>28689.0</v>
      </c>
      <c r="F353" s="33" t="s">
        <v>78</v>
      </c>
      <c r="G353" s="33" t="s">
        <v>79</v>
      </c>
      <c r="H353" s="37">
        <v>18700.0</v>
      </c>
      <c r="I353" s="37">
        <v>11000.0</v>
      </c>
      <c r="J353" s="35" t="s">
        <v>31</v>
      </c>
      <c r="K353" s="35">
        <v>28.0</v>
      </c>
      <c r="L353" s="33" t="str">
        <f t="shared" si="1"/>
        <v>Alto</v>
      </c>
      <c r="M353" s="38" t="str">
        <f t="shared" si="2"/>
        <v>Aceito</v>
      </c>
      <c r="N353" s="38" t="str">
        <f t="shared" si="3"/>
        <v>Positiva</v>
      </c>
      <c r="O353" s="39">
        <v>18000.0</v>
      </c>
      <c r="P353" s="35">
        <f t="shared" si="4"/>
        <v>0</v>
      </c>
      <c r="Q353" s="33">
        <f t="shared" si="5"/>
        <v>1</v>
      </c>
    </row>
    <row r="354">
      <c r="A354" s="26" t="s">
        <v>71</v>
      </c>
      <c r="B354" s="26" t="s">
        <v>1082</v>
      </c>
      <c r="C354" s="27">
        <v>8200.0</v>
      </c>
      <c r="D354" s="28">
        <v>20.0</v>
      </c>
      <c r="E354" s="29">
        <v>38894.0</v>
      </c>
      <c r="F354" s="26" t="s">
        <v>234</v>
      </c>
      <c r="G354" s="26" t="s">
        <v>205</v>
      </c>
      <c r="H354" s="30">
        <v>24900.0</v>
      </c>
      <c r="I354" s="30">
        <v>0.0</v>
      </c>
      <c r="J354" s="28" t="s">
        <v>32</v>
      </c>
      <c r="K354" s="28">
        <v>14.0</v>
      </c>
      <c r="L354" s="26" t="str">
        <f t="shared" si="1"/>
        <v>Médio</v>
      </c>
      <c r="M354" s="31" t="str">
        <f t="shared" si="2"/>
        <v>Aceito</v>
      </c>
      <c r="N354" s="31" t="str">
        <f t="shared" si="3"/>
        <v>Positiva</v>
      </c>
      <c r="O354" s="32">
        <v>49500.0</v>
      </c>
      <c r="P354" s="32">
        <f t="shared" si="4"/>
        <v>53460</v>
      </c>
      <c r="Q354" s="26">
        <f t="shared" si="5"/>
        <v>1</v>
      </c>
    </row>
    <row r="355">
      <c r="A355" s="33" t="s">
        <v>71</v>
      </c>
      <c r="B355" s="33" t="s">
        <v>1083</v>
      </c>
      <c r="C355" s="34">
        <v>23000.0</v>
      </c>
      <c r="D355" s="35">
        <v>53.0</v>
      </c>
      <c r="E355" s="36">
        <v>26744.0</v>
      </c>
      <c r="F355" s="33" t="s">
        <v>100</v>
      </c>
      <c r="G355" s="33" t="s">
        <v>88</v>
      </c>
      <c r="H355" s="37">
        <v>26400.0</v>
      </c>
      <c r="I355" s="37">
        <v>9500.0</v>
      </c>
      <c r="J355" s="35" t="s">
        <v>31</v>
      </c>
      <c r="K355" s="35">
        <v>21.0</v>
      </c>
      <c r="L355" s="33" t="str">
        <f t="shared" si="1"/>
        <v>Médio</v>
      </c>
      <c r="M355" s="38" t="str">
        <f t="shared" si="2"/>
        <v>Aceito</v>
      </c>
      <c r="N355" s="38" t="str">
        <f t="shared" si="3"/>
        <v>Positiva</v>
      </c>
      <c r="O355" s="39">
        <v>16000.0</v>
      </c>
      <c r="P355" s="39">
        <f t="shared" si="4"/>
        <v>17280</v>
      </c>
      <c r="Q355" s="33">
        <f t="shared" si="5"/>
        <v>1</v>
      </c>
    </row>
    <row r="356">
      <c r="A356" s="26" t="s">
        <v>71</v>
      </c>
      <c r="B356" s="26" t="s">
        <v>1085</v>
      </c>
      <c r="C356" s="27" t="s">
        <v>1086</v>
      </c>
      <c r="D356" s="28">
        <v>31.0</v>
      </c>
      <c r="E356" s="29">
        <v>34824.0</v>
      </c>
      <c r="F356" s="26" t="s">
        <v>428</v>
      </c>
      <c r="G356" s="26" t="s">
        <v>79</v>
      </c>
      <c r="H356" s="30">
        <v>29500.0</v>
      </c>
      <c r="I356" s="30">
        <v>5000.0</v>
      </c>
      <c r="J356" s="28" t="s">
        <v>31</v>
      </c>
      <c r="K356" s="28">
        <v>22.0</v>
      </c>
      <c r="L356" s="26" t="str">
        <f t="shared" si="1"/>
        <v>Médio</v>
      </c>
      <c r="M356" s="31" t="str">
        <f t="shared" si="2"/>
        <v>Aceito</v>
      </c>
      <c r="N356" s="31" t="str">
        <f t="shared" si="3"/>
        <v>Positiva</v>
      </c>
      <c r="O356" s="32">
        <v>18000.0</v>
      </c>
      <c r="P356" s="32">
        <f t="shared" si="4"/>
        <v>19440</v>
      </c>
      <c r="Q356" s="26">
        <f t="shared" si="5"/>
        <v>1</v>
      </c>
    </row>
    <row r="357">
      <c r="A357" s="33" t="s">
        <v>71</v>
      </c>
      <c r="B357" s="33" t="s">
        <v>1179</v>
      </c>
      <c r="C357" s="34" t="s">
        <v>1088</v>
      </c>
      <c r="D357" s="35">
        <v>32.0</v>
      </c>
      <c r="E357" s="36">
        <v>34508.0</v>
      </c>
      <c r="F357" s="33" t="s">
        <v>270</v>
      </c>
      <c r="G357" s="33" t="s">
        <v>270</v>
      </c>
      <c r="H357" s="37">
        <v>9800.0</v>
      </c>
      <c r="I357" s="37">
        <v>0.0</v>
      </c>
      <c r="J357" s="35" t="s">
        <v>31</v>
      </c>
      <c r="K357" s="35">
        <v>23.0</v>
      </c>
      <c r="L357" s="33" t="str">
        <f t="shared" si="1"/>
        <v>Médio</v>
      </c>
      <c r="M357" s="38" t="str">
        <f t="shared" si="2"/>
        <v>Aceito</v>
      </c>
      <c r="N357" s="38" t="str">
        <f t="shared" si="3"/>
        <v>Positiva</v>
      </c>
      <c r="O357" s="39">
        <v>68000.0</v>
      </c>
      <c r="P357" s="39">
        <f t="shared" si="4"/>
        <v>73440</v>
      </c>
      <c r="Q357" s="33">
        <f t="shared" si="5"/>
        <v>1</v>
      </c>
    </row>
    <row r="358">
      <c r="A358" s="26" t="s">
        <v>76</v>
      </c>
      <c r="B358" s="26" t="s">
        <v>1089</v>
      </c>
      <c r="C358" s="27" t="s">
        <v>1090</v>
      </c>
      <c r="D358" s="28">
        <v>51.0</v>
      </c>
      <c r="E358" s="29">
        <v>27590.0</v>
      </c>
      <c r="F358" s="26" t="s">
        <v>306</v>
      </c>
      <c r="G358" s="26" t="s">
        <v>222</v>
      </c>
      <c r="H358" s="30">
        <v>11400.0</v>
      </c>
      <c r="I358" s="30">
        <v>0.0</v>
      </c>
      <c r="J358" s="28" t="s">
        <v>31</v>
      </c>
      <c r="K358" s="28">
        <v>17.0</v>
      </c>
      <c r="L358" s="26" t="str">
        <f t="shared" si="1"/>
        <v>Médio</v>
      </c>
      <c r="M358" s="31" t="str">
        <f t="shared" si="2"/>
        <v>Aceito</v>
      </c>
      <c r="N358" s="31" t="str">
        <f t="shared" si="3"/>
        <v>Positiva</v>
      </c>
      <c r="O358" s="32">
        <v>55500.0</v>
      </c>
      <c r="P358" s="28">
        <f t="shared" si="4"/>
        <v>0</v>
      </c>
      <c r="Q358" s="26">
        <f t="shared" si="5"/>
        <v>1</v>
      </c>
    </row>
    <row r="359">
      <c r="A359" s="33" t="s">
        <v>76</v>
      </c>
      <c r="B359" s="33" t="s">
        <v>1092</v>
      </c>
      <c r="C359" s="34" t="s">
        <v>1093</v>
      </c>
      <c r="D359" s="35">
        <v>54.0</v>
      </c>
      <c r="E359" s="36">
        <v>26403.0</v>
      </c>
      <c r="F359" s="33" t="s">
        <v>306</v>
      </c>
      <c r="G359" s="33" t="s">
        <v>222</v>
      </c>
      <c r="H359" s="37">
        <v>20800.0</v>
      </c>
      <c r="I359" s="37">
        <v>16000.0</v>
      </c>
      <c r="J359" s="35" t="s">
        <v>31</v>
      </c>
      <c r="K359" s="35">
        <v>32.0</v>
      </c>
      <c r="L359" s="33" t="str">
        <f t="shared" si="1"/>
        <v>Alto</v>
      </c>
      <c r="M359" s="38" t="str">
        <f t="shared" si="2"/>
        <v>Aceito</v>
      </c>
      <c r="N359" s="38" t="str">
        <f t="shared" si="3"/>
        <v>Positiva</v>
      </c>
      <c r="O359" s="39">
        <v>31500.0</v>
      </c>
      <c r="P359" s="35">
        <f t="shared" si="4"/>
        <v>0</v>
      </c>
      <c r="Q359" s="33">
        <f t="shared" si="5"/>
        <v>1</v>
      </c>
    </row>
    <row r="360">
      <c r="A360" s="26" t="s">
        <v>76</v>
      </c>
      <c r="B360" s="26" t="s">
        <v>1096</v>
      </c>
      <c r="C360" s="27" t="s">
        <v>1097</v>
      </c>
      <c r="D360" s="28">
        <v>66.0</v>
      </c>
      <c r="E360" s="29">
        <v>22013.0</v>
      </c>
      <c r="F360" s="26" t="s">
        <v>115</v>
      </c>
      <c r="G360" s="26" t="s">
        <v>117</v>
      </c>
      <c r="H360" s="30">
        <v>16800.0</v>
      </c>
      <c r="I360" s="30">
        <v>79500.0</v>
      </c>
      <c r="J360" s="28" t="s">
        <v>31</v>
      </c>
      <c r="K360" s="28">
        <v>36.0</v>
      </c>
      <c r="L360" s="26" t="str">
        <f t="shared" si="1"/>
        <v>Alto</v>
      </c>
      <c r="M360" s="31" t="str">
        <f t="shared" si="2"/>
        <v>Aceito</v>
      </c>
      <c r="N360" s="31" t="str">
        <f t="shared" si="3"/>
        <v>Positiva</v>
      </c>
      <c r="O360" s="32">
        <v>1500.0</v>
      </c>
      <c r="P360" s="28">
        <f t="shared" si="4"/>
        <v>0</v>
      </c>
      <c r="Q360" s="26">
        <f t="shared" si="5"/>
        <v>1</v>
      </c>
    </row>
    <row r="361">
      <c r="A361" s="33" t="s">
        <v>71</v>
      </c>
      <c r="B361" s="33" t="s">
        <v>946</v>
      </c>
      <c r="C361" s="34">
        <v>20300.0</v>
      </c>
      <c r="D361" s="35">
        <v>46.0</v>
      </c>
      <c r="E361" s="36">
        <v>29427.0</v>
      </c>
      <c r="F361" s="33" t="s">
        <v>253</v>
      </c>
      <c r="G361" s="33" t="s">
        <v>195</v>
      </c>
      <c r="H361" s="37">
        <v>0.0</v>
      </c>
      <c r="I361" s="37">
        <v>37500.0</v>
      </c>
      <c r="J361" s="35" t="s">
        <v>31</v>
      </c>
      <c r="K361" s="35"/>
      <c r="L361" s="33" t="str">
        <f t="shared" si="1"/>
        <v>Baixo</v>
      </c>
      <c r="M361" s="38" t="str">
        <f t="shared" si="2"/>
        <v>Aceito</v>
      </c>
      <c r="N361" s="38" t="str">
        <f t="shared" si="3"/>
        <v>Positiva</v>
      </c>
      <c r="O361" s="39">
        <v>21500.0</v>
      </c>
      <c r="P361" s="39">
        <f t="shared" si="4"/>
        <v>23220</v>
      </c>
      <c r="Q361" s="33">
        <f t="shared" si="5"/>
        <v>1</v>
      </c>
    </row>
    <row r="362">
      <c r="A362" s="26" t="s">
        <v>71</v>
      </c>
      <c r="B362" s="26" t="s">
        <v>1098</v>
      </c>
      <c r="C362" s="27" t="s">
        <v>1099</v>
      </c>
      <c r="D362" s="28">
        <v>22.0</v>
      </c>
      <c r="E362" s="29">
        <v>38115.0</v>
      </c>
      <c r="F362" s="26" t="s">
        <v>74</v>
      </c>
      <c r="G362" s="26" t="s">
        <v>75</v>
      </c>
      <c r="H362" s="30">
        <v>10500.0</v>
      </c>
      <c r="I362" s="30">
        <v>50.5</v>
      </c>
      <c r="J362" s="28" t="s">
        <v>31</v>
      </c>
      <c r="K362" s="28">
        <v>16.0</v>
      </c>
      <c r="L362" s="26" t="str">
        <f t="shared" si="1"/>
        <v>Médio</v>
      </c>
      <c r="M362" s="31" t="str">
        <f t="shared" si="2"/>
        <v>Aceito</v>
      </c>
      <c r="N362" s="31" t="str">
        <f t="shared" si="3"/>
        <v>Positiva</v>
      </c>
      <c r="O362" s="32">
        <v>41500.0</v>
      </c>
      <c r="P362" s="32">
        <f t="shared" si="4"/>
        <v>44820</v>
      </c>
      <c r="Q362" s="26">
        <f t="shared" si="5"/>
        <v>1</v>
      </c>
    </row>
    <row r="363">
      <c r="A363" s="33" t="s">
        <v>71</v>
      </c>
      <c r="B363" s="33" t="s">
        <v>1100</v>
      </c>
      <c r="C363" s="34">
        <v>21400.0</v>
      </c>
      <c r="D363" s="35">
        <v>67.0</v>
      </c>
      <c r="E363" s="36">
        <v>21689.0</v>
      </c>
      <c r="F363" s="33" t="s">
        <v>115</v>
      </c>
      <c r="G363" s="33" t="s">
        <v>117</v>
      </c>
      <c r="H363" s="37">
        <v>10700.0</v>
      </c>
      <c r="I363" s="37">
        <v>9000.0</v>
      </c>
      <c r="J363" s="35" t="s">
        <v>31</v>
      </c>
      <c r="K363" s="35">
        <v>37.0</v>
      </c>
      <c r="L363" s="33" t="str">
        <f t="shared" si="1"/>
        <v>Alto</v>
      </c>
      <c r="M363" s="38" t="str">
        <f t="shared" si="2"/>
        <v>Aceito</v>
      </c>
      <c r="N363" s="38" t="str">
        <f t="shared" si="3"/>
        <v>Positiva</v>
      </c>
      <c r="O363" s="39">
        <v>53000.0</v>
      </c>
      <c r="P363" s="39">
        <f t="shared" si="4"/>
        <v>57240</v>
      </c>
      <c r="Q363" s="33">
        <f t="shared" si="5"/>
        <v>1</v>
      </c>
    </row>
    <row r="364">
      <c r="A364" s="26" t="s">
        <v>76</v>
      </c>
      <c r="B364" s="26" t="s">
        <v>1102</v>
      </c>
      <c r="C364" s="27" t="s">
        <v>1103</v>
      </c>
      <c r="D364" s="28">
        <v>53.0</v>
      </c>
      <c r="E364" s="29">
        <v>26820.0</v>
      </c>
      <c r="F364" s="26" t="s">
        <v>136</v>
      </c>
      <c r="G364" s="26" t="s">
        <v>117</v>
      </c>
      <c r="H364" s="30">
        <v>0.0</v>
      </c>
      <c r="I364" s="30">
        <v>21500.0</v>
      </c>
      <c r="J364" s="28" t="s">
        <v>32</v>
      </c>
      <c r="K364" s="28">
        <v>44.0</v>
      </c>
      <c r="L364" s="26" t="str">
        <f t="shared" si="1"/>
        <v>Alto</v>
      </c>
      <c r="M364" s="31" t="str">
        <f t="shared" si="2"/>
        <v>Negado</v>
      </c>
      <c r="N364" s="31" t="str">
        <f t="shared" si="3"/>
        <v>Positiva</v>
      </c>
      <c r="O364" s="32">
        <v>3500.0</v>
      </c>
      <c r="P364" s="28">
        <f t="shared" si="4"/>
        <v>0</v>
      </c>
      <c r="Q364" s="26">
        <f t="shared" si="5"/>
        <v>1</v>
      </c>
    </row>
    <row r="365">
      <c r="A365" s="33" t="s">
        <v>71</v>
      </c>
      <c r="B365" s="33" t="s">
        <v>1105</v>
      </c>
      <c r="C365" s="34">
        <v>3200.0</v>
      </c>
      <c r="D365" s="35">
        <v>31.0</v>
      </c>
      <c r="E365" s="36">
        <v>34746.0</v>
      </c>
      <c r="F365" s="33" t="s">
        <v>136</v>
      </c>
      <c r="G365" s="33" t="s">
        <v>117</v>
      </c>
      <c r="H365" s="37">
        <v>18200.0</v>
      </c>
      <c r="I365" s="37">
        <v>78500.0</v>
      </c>
      <c r="J365" s="35" t="s">
        <v>31</v>
      </c>
      <c r="K365" s="35">
        <v>9.0</v>
      </c>
      <c r="L365" s="33" t="str">
        <f t="shared" si="1"/>
        <v>Baixo</v>
      </c>
      <c r="M365" s="38" t="str">
        <f t="shared" si="2"/>
        <v>Aceito</v>
      </c>
      <c r="N365" s="38" t="str">
        <f t="shared" si="3"/>
        <v>Positiva</v>
      </c>
      <c r="O365" s="39">
        <v>73000.0</v>
      </c>
      <c r="P365" s="39">
        <f t="shared" si="4"/>
        <v>78840</v>
      </c>
      <c r="Q365" s="33">
        <f t="shared" si="5"/>
        <v>1</v>
      </c>
    </row>
    <row r="366">
      <c r="A366" s="26" t="s">
        <v>76</v>
      </c>
      <c r="B366" s="26" t="s">
        <v>370</v>
      </c>
      <c r="C366" s="27" t="s">
        <v>1107</v>
      </c>
      <c r="D366" s="28">
        <v>41.0</v>
      </c>
      <c r="E366" s="29">
        <v>31156.0</v>
      </c>
      <c r="F366" s="26" t="s">
        <v>246</v>
      </c>
      <c r="G366" s="26" t="s">
        <v>205</v>
      </c>
      <c r="H366" s="30">
        <v>26500.0</v>
      </c>
      <c r="I366" s="30">
        <v>29500.0</v>
      </c>
      <c r="J366" s="28" t="s">
        <v>31</v>
      </c>
      <c r="K366" s="28">
        <v>5.0</v>
      </c>
      <c r="L366" s="26" t="str">
        <f t="shared" si="1"/>
        <v>Baixo</v>
      </c>
      <c r="M366" s="31" t="str">
        <f t="shared" si="2"/>
        <v>Aceito</v>
      </c>
      <c r="N366" s="31" t="str">
        <f t="shared" si="3"/>
        <v>Positiva</v>
      </c>
      <c r="O366" s="32">
        <v>75000.0</v>
      </c>
      <c r="P366" s="28">
        <f t="shared" si="4"/>
        <v>0</v>
      </c>
      <c r="Q366" s="26">
        <f t="shared" si="5"/>
        <v>1</v>
      </c>
    </row>
    <row r="367">
      <c r="A367" s="33" t="s">
        <v>71</v>
      </c>
      <c r="B367" s="33" t="s">
        <v>1109</v>
      </c>
      <c r="C367" s="34">
        <v>20600.0</v>
      </c>
      <c r="D367" s="35">
        <v>55.0</v>
      </c>
      <c r="E367" s="36">
        <v>26075.0</v>
      </c>
      <c r="F367" s="33" t="s">
        <v>74</v>
      </c>
      <c r="G367" s="33" t="s">
        <v>75</v>
      </c>
      <c r="H367" s="37">
        <v>21100.0</v>
      </c>
      <c r="I367" s="37">
        <v>67.5</v>
      </c>
      <c r="J367" s="35" t="s">
        <v>31</v>
      </c>
      <c r="K367" s="35">
        <v>15.0</v>
      </c>
      <c r="L367" s="33" t="str">
        <f t="shared" si="1"/>
        <v>Médio</v>
      </c>
      <c r="M367" s="38" t="str">
        <f t="shared" si="2"/>
        <v>Aceito</v>
      </c>
      <c r="N367" s="38" t="str">
        <f t="shared" si="3"/>
        <v>Positiva</v>
      </c>
      <c r="O367" s="39">
        <v>20000.0</v>
      </c>
      <c r="P367" s="39">
        <f t="shared" si="4"/>
        <v>21600</v>
      </c>
      <c r="Q367" s="33">
        <f t="shared" si="5"/>
        <v>1</v>
      </c>
    </row>
    <row r="368">
      <c r="A368" s="26" t="s">
        <v>76</v>
      </c>
      <c r="B368" s="26" t="s">
        <v>1111</v>
      </c>
      <c r="C368" s="27" t="s">
        <v>1112</v>
      </c>
      <c r="D368" s="28">
        <v>60.0</v>
      </c>
      <c r="E368" s="29">
        <v>24272.0</v>
      </c>
      <c r="F368" s="26" t="s">
        <v>306</v>
      </c>
      <c r="G368" s="26" t="s">
        <v>222</v>
      </c>
      <c r="H368" s="30">
        <v>17300.0</v>
      </c>
      <c r="I368" s="30">
        <v>15000.0</v>
      </c>
      <c r="J368" s="28" t="s">
        <v>31</v>
      </c>
      <c r="K368" s="28">
        <v>17.0</v>
      </c>
      <c r="L368" s="26" t="str">
        <f t="shared" si="1"/>
        <v>Médio</v>
      </c>
      <c r="M368" s="31" t="str">
        <f t="shared" si="2"/>
        <v>Aceito</v>
      </c>
      <c r="N368" s="31" t="str">
        <f t="shared" si="3"/>
        <v>Positiva</v>
      </c>
      <c r="O368" s="32">
        <v>69000.0</v>
      </c>
      <c r="P368" s="28">
        <f t="shared" si="4"/>
        <v>0</v>
      </c>
      <c r="Q368" s="26">
        <f t="shared" si="5"/>
        <v>1</v>
      </c>
    </row>
    <row r="369">
      <c r="A369" s="33" t="s">
        <v>71</v>
      </c>
      <c r="B369" s="33" t="s">
        <v>1114</v>
      </c>
      <c r="C369" s="34">
        <v>3300.0</v>
      </c>
      <c r="D369" s="35">
        <v>31.0</v>
      </c>
      <c r="E369" s="66">
        <v>34914.0</v>
      </c>
      <c r="F369" s="33" t="s">
        <v>100</v>
      </c>
      <c r="G369" s="33" t="s">
        <v>88</v>
      </c>
      <c r="H369" s="37">
        <v>20800.0</v>
      </c>
      <c r="I369" s="37">
        <v>17500.0</v>
      </c>
      <c r="J369" s="35" t="s">
        <v>31</v>
      </c>
      <c r="K369" s="35">
        <v>35.0</v>
      </c>
      <c r="L369" s="33" t="str">
        <f t="shared" si="1"/>
        <v>Alto</v>
      </c>
      <c r="M369" s="38" t="str">
        <f t="shared" si="2"/>
        <v>Aceito</v>
      </c>
      <c r="N369" s="38" t="str">
        <f t="shared" si="3"/>
        <v>Positiva</v>
      </c>
      <c r="O369" s="39">
        <v>58000.0</v>
      </c>
      <c r="P369" s="39">
        <f t="shared" si="4"/>
        <v>62640</v>
      </c>
      <c r="Q369" s="33">
        <f t="shared" si="5"/>
        <v>1</v>
      </c>
    </row>
    <row r="370">
      <c r="A370" s="26" t="s">
        <v>71</v>
      </c>
      <c r="B370" s="26" t="s">
        <v>1115</v>
      </c>
      <c r="C370" s="27">
        <v>25500.0</v>
      </c>
      <c r="D370" s="28">
        <v>70.0</v>
      </c>
      <c r="E370" s="67">
        <v>20681.0</v>
      </c>
      <c r="F370" s="26" t="s">
        <v>626</v>
      </c>
      <c r="G370" s="26" t="s">
        <v>340</v>
      </c>
      <c r="H370" s="30">
        <v>15800.0</v>
      </c>
      <c r="I370" s="30">
        <v>17500.0</v>
      </c>
      <c r="J370" s="28" t="s">
        <v>31</v>
      </c>
      <c r="K370" s="28">
        <v>18.0</v>
      </c>
      <c r="L370" s="26" t="str">
        <f t="shared" si="1"/>
        <v>Médio</v>
      </c>
      <c r="M370" s="31" t="str">
        <f t="shared" si="2"/>
        <v>Aceito</v>
      </c>
      <c r="N370" s="31" t="str">
        <f t="shared" si="3"/>
        <v>Positiva</v>
      </c>
      <c r="O370" s="32">
        <v>91000.0</v>
      </c>
      <c r="P370" s="32">
        <f t="shared" si="4"/>
        <v>98280</v>
      </c>
      <c r="Q370" s="26">
        <f t="shared" si="5"/>
        <v>1</v>
      </c>
    </row>
    <row r="371">
      <c r="A371" s="33" t="s">
        <v>76</v>
      </c>
      <c r="B371" s="33" t="s">
        <v>1117</v>
      </c>
      <c r="C371" s="34" t="s">
        <v>1118</v>
      </c>
      <c r="D371" s="35">
        <v>57.0</v>
      </c>
      <c r="E371" s="66">
        <v>25147.0</v>
      </c>
      <c r="F371" s="33" t="s">
        <v>306</v>
      </c>
      <c r="G371" s="33" t="s">
        <v>222</v>
      </c>
      <c r="H371" s="37">
        <v>26300.0</v>
      </c>
      <c r="I371" s="37">
        <v>75500.0</v>
      </c>
      <c r="J371" s="35" t="s">
        <v>32</v>
      </c>
      <c r="K371" s="35">
        <v>25.0</v>
      </c>
      <c r="L371" s="33" t="str">
        <f t="shared" si="1"/>
        <v>Médio</v>
      </c>
      <c r="M371" s="38" t="str">
        <f t="shared" si="2"/>
        <v>Aceito</v>
      </c>
      <c r="N371" s="38" t="str">
        <f t="shared" si="3"/>
        <v>Negativa</v>
      </c>
      <c r="O371" s="39">
        <v>44000.0</v>
      </c>
      <c r="P371" s="35">
        <f t="shared" si="4"/>
        <v>0</v>
      </c>
      <c r="Q371" s="33">
        <f t="shared" si="5"/>
        <v>1</v>
      </c>
    </row>
    <row r="372">
      <c r="A372" s="26" t="s">
        <v>71</v>
      </c>
      <c r="B372" s="26" t="s">
        <v>1119</v>
      </c>
      <c r="C372" s="27" t="s">
        <v>1120</v>
      </c>
      <c r="D372" s="28">
        <v>28.0</v>
      </c>
      <c r="E372" s="68">
        <v>35948.0</v>
      </c>
      <c r="F372" s="26" t="s">
        <v>1180</v>
      </c>
      <c r="G372" s="26" t="s">
        <v>340</v>
      </c>
      <c r="H372" s="30">
        <v>14600.0</v>
      </c>
      <c r="I372" s="30">
        <v>23000.0</v>
      </c>
      <c r="J372" s="28" t="s">
        <v>32</v>
      </c>
      <c r="K372" s="28">
        <v>22.0</v>
      </c>
      <c r="L372" s="26" t="str">
        <f t="shared" si="1"/>
        <v>Médio</v>
      </c>
      <c r="M372" s="31" t="str">
        <f t="shared" si="2"/>
        <v>Aceito</v>
      </c>
      <c r="N372" s="31" t="str">
        <f t="shared" si="3"/>
        <v>Positiva</v>
      </c>
      <c r="O372" s="32">
        <v>99000.0</v>
      </c>
      <c r="P372" s="32">
        <f t="shared" si="4"/>
        <v>106920</v>
      </c>
      <c r="Q372" s="26">
        <f t="shared" si="5"/>
        <v>1</v>
      </c>
    </row>
    <row r="373">
      <c r="A373" s="33" t="s">
        <v>71</v>
      </c>
      <c r="B373" s="33" t="s">
        <v>1121</v>
      </c>
      <c r="C373" s="34" t="s">
        <v>1122</v>
      </c>
      <c r="D373" s="35">
        <v>50.0</v>
      </c>
      <c r="E373" s="69">
        <v>27729.0</v>
      </c>
      <c r="F373" s="33" t="s">
        <v>82</v>
      </c>
      <c r="G373" s="33" t="s">
        <v>83</v>
      </c>
      <c r="H373" s="37">
        <v>22800.0</v>
      </c>
      <c r="I373" s="37">
        <v>70000.0</v>
      </c>
      <c r="J373" s="35" t="s">
        <v>32</v>
      </c>
      <c r="K373" s="35">
        <v>14.0</v>
      </c>
      <c r="L373" s="33" t="str">
        <f t="shared" si="1"/>
        <v>Médio</v>
      </c>
      <c r="M373" s="38" t="str">
        <f t="shared" si="2"/>
        <v>Aceito</v>
      </c>
      <c r="N373" s="38" t="str">
        <f t="shared" si="3"/>
        <v>Negativa</v>
      </c>
      <c r="O373" s="39">
        <v>25500.0</v>
      </c>
      <c r="P373" s="39">
        <f t="shared" si="4"/>
        <v>27540</v>
      </c>
      <c r="Q373" s="33">
        <f t="shared" si="5"/>
        <v>1</v>
      </c>
    </row>
    <row r="374">
      <c r="A374" s="26" t="s">
        <v>76</v>
      </c>
      <c r="B374" s="26" t="s">
        <v>936</v>
      </c>
      <c r="C374" s="27" t="s">
        <v>1123</v>
      </c>
      <c r="D374" s="28">
        <v>68.0</v>
      </c>
      <c r="E374" s="67">
        <v>21190.0</v>
      </c>
      <c r="F374" s="26" t="s">
        <v>203</v>
      </c>
      <c r="G374" s="26" t="s">
        <v>205</v>
      </c>
      <c r="H374" s="30">
        <v>2800.0</v>
      </c>
      <c r="I374" s="30">
        <v>76000.0</v>
      </c>
      <c r="J374" s="28" t="s">
        <v>31</v>
      </c>
      <c r="K374" s="28">
        <v>44.0</v>
      </c>
      <c r="L374" s="26" t="str">
        <f t="shared" si="1"/>
        <v>Alto</v>
      </c>
      <c r="M374" s="31" t="str">
        <f t="shared" si="2"/>
        <v>Aceito</v>
      </c>
      <c r="N374" s="31" t="str">
        <f t="shared" si="3"/>
        <v>Positiva</v>
      </c>
      <c r="O374" s="32">
        <v>27000.0</v>
      </c>
      <c r="P374" s="28">
        <f t="shared" si="4"/>
        <v>0</v>
      </c>
      <c r="Q374" s="26">
        <f t="shared" si="5"/>
        <v>1</v>
      </c>
    </row>
    <row r="375">
      <c r="A375" s="33" t="s">
        <v>71</v>
      </c>
      <c r="B375" s="33" t="s">
        <v>1124</v>
      </c>
      <c r="C375" s="34" t="s">
        <v>1125</v>
      </c>
      <c r="D375" s="35">
        <v>40.0</v>
      </c>
      <c r="E375" s="66">
        <v>31458.0</v>
      </c>
      <c r="F375" s="33" t="s">
        <v>1174</v>
      </c>
      <c r="G375" s="33" t="s">
        <v>340</v>
      </c>
      <c r="H375" s="37">
        <v>21300.0</v>
      </c>
      <c r="I375" s="37">
        <v>48500.0</v>
      </c>
      <c r="J375" s="35" t="s">
        <v>31</v>
      </c>
      <c r="K375" s="35">
        <v>6.0</v>
      </c>
      <c r="L375" s="33" t="str">
        <f t="shared" si="1"/>
        <v>Baixo</v>
      </c>
      <c r="M375" s="38" t="str">
        <f t="shared" si="2"/>
        <v>Aceito</v>
      </c>
      <c r="N375" s="38" t="str">
        <f t="shared" si="3"/>
        <v>Positiva</v>
      </c>
      <c r="O375" s="39">
        <v>62500.0</v>
      </c>
      <c r="P375" s="39">
        <f t="shared" si="4"/>
        <v>67500</v>
      </c>
      <c r="Q375" s="33">
        <f t="shared" si="5"/>
        <v>1</v>
      </c>
    </row>
    <row r="376">
      <c r="A376" s="26" t="s">
        <v>340</v>
      </c>
      <c r="B376" s="26" t="s">
        <v>1092</v>
      </c>
      <c r="C376" s="27" t="s">
        <v>1126</v>
      </c>
      <c r="D376" s="28">
        <v>61.0</v>
      </c>
      <c r="E376" s="68">
        <v>23834.0</v>
      </c>
      <c r="F376" s="26" t="s">
        <v>306</v>
      </c>
      <c r="G376" s="26" t="s">
        <v>222</v>
      </c>
      <c r="H376" s="30">
        <v>9100.0</v>
      </c>
      <c r="I376" s="30">
        <v>49000.0</v>
      </c>
      <c r="J376" s="28" t="s">
        <v>31</v>
      </c>
      <c r="K376" s="28">
        <v>1.0</v>
      </c>
      <c r="L376" s="26" t="str">
        <f t="shared" si="1"/>
        <v>Baixo</v>
      </c>
      <c r="M376" s="31" t="str">
        <f t="shared" si="2"/>
        <v>Aceito</v>
      </c>
      <c r="N376" s="31" t="str">
        <f t="shared" si="3"/>
        <v>Positiva</v>
      </c>
      <c r="O376" s="32">
        <v>48000.0</v>
      </c>
      <c r="P376" s="28">
        <f t="shared" si="4"/>
        <v>0</v>
      </c>
      <c r="Q376" s="26">
        <f t="shared" si="5"/>
        <v>1</v>
      </c>
    </row>
    <row r="377">
      <c r="A377" s="33" t="s">
        <v>71</v>
      </c>
      <c r="B377" s="33" t="s">
        <v>1128</v>
      </c>
      <c r="C377" s="34" t="s">
        <v>1129</v>
      </c>
      <c r="D377" s="35">
        <v>45.0</v>
      </c>
      <c r="E377" s="70">
        <v>29575.0</v>
      </c>
      <c r="F377" s="33" t="s">
        <v>136</v>
      </c>
      <c r="G377" s="33" t="s">
        <v>117</v>
      </c>
      <c r="H377" s="37">
        <v>16200.0</v>
      </c>
      <c r="I377" s="37">
        <v>59000.0</v>
      </c>
      <c r="J377" s="35" t="s">
        <v>31</v>
      </c>
      <c r="K377" s="35">
        <v>4.0</v>
      </c>
      <c r="L377" s="33" t="str">
        <f t="shared" si="1"/>
        <v>Baixo</v>
      </c>
      <c r="M377" s="38" t="str">
        <f t="shared" si="2"/>
        <v>Aceito</v>
      </c>
      <c r="N377" s="38" t="str">
        <f t="shared" si="3"/>
        <v>Positiva</v>
      </c>
      <c r="O377" s="39">
        <v>73500.0</v>
      </c>
      <c r="P377" s="39">
        <f t="shared" si="4"/>
        <v>79380</v>
      </c>
      <c r="Q377" s="33">
        <f t="shared" si="5"/>
        <v>1</v>
      </c>
    </row>
    <row r="378">
      <c r="A378" s="26" t="s">
        <v>76</v>
      </c>
      <c r="B378" s="26" t="s">
        <v>1131</v>
      </c>
      <c r="C378" s="27" t="s">
        <v>1132</v>
      </c>
      <c r="D378" s="28">
        <v>62.0</v>
      </c>
      <c r="E378" s="68">
        <v>23358.0</v>
      </c>
      <c r="F378" s="26" t="s">
        <v>258</v>
      </c>
      <c r="G378" s="26" t="s">
        <v>222</v>
      </c>
      <c r="H378" s="30">
        <v>14600.0</v>
      </c>
      <c r="I378" s="30">
        <v>15500.0</v>
      </c>
      <c r="J378" s="28" t="s">
        <v>109</v>
      </c>
      <c r="K378" s="28">
        <v>2.0</v>
      </c>
      <c r="L378" s="26" t="str">
        <f t="shared" si="1"/>
        <v>Baixo</v>
      </c>
      <c r="M378" s="31" t="str">
        <f t="shared" si="2"/>
        <v>Aceito</v>
      </c>
      <c r="N378" s="31" t="str">
        <f t="shared" si="3"/>
        <v>Positiva</v>
      </c>
      <c r="O378" s="32">
        <v>2500.0</v>
      </c>
      <c r="P378" s="28">
        <f t="shared" si="4"/>
        <v>0</v>
      </c>
      <c r="Q378" s="26">
        <f t="shared" si="5"/>
        <v>1</v>
      </c>
    </row>
    <row r="379">
      <c r="A379" s="33" t="s">
        <v>71</v>
      </c>
      <c r="B379" s="33" t="s">
        <v>1001</v>
      </c>
      <c r="C379" s="34" t="s">
        <v>1002</v>
      </c>
      <c r="D379" s="35">
        <v>39.0</v>
      </c>
      <c r="E379" s="66">
        <v>31968.0</v>
      </c>
      <c r="F379" s="33" t="s">
        <v>1174</v>
      </c>
      <c r="G379" s="33" t="s">
        <v>340</v>
      </c>
      <c r="H379" s="37">
        <v>8000.0</v>
      </c>
      <c r="I379" s="37">
        <v>69000.0</v>
      </c>
      <c r="J379" s="35" t="s">
        <v>31</v>
      </c>
      <c r="K379" s="35">
        <v>15.0</v>
      </c>
      <c r="L379" s="33" t="str">
        <f t="shared" si="1"/>
        <v>Médio</v>
      </c>
      <c r="M379" s="38" t="str">
        <f t="shared" si="2"/>
        <v>Aceito</v>
      </c>
      <c r="N379" s="38" t="str">
        <f t="shared" si="3"/>
        <v>Positiva</v>
      </c>
      <c r="O379" s="39">
        <v>6500.0</v>
      </c>
      <c r="P379" s="39">
        <f t="shared" si="4"/>
        <v>7020</v>
      </c>
      <c r="Q379" s="33">
        <f t="shared" si="5"/>
        <v>1</v>
      </c>
    </row>
    <row r="380">
      <c r="A380" s="26" t="s">
        <v>71</v>
      </c>
      <c r="B380" s="26" t="s">
        <v>1133</v>
      </c>
      <c r="C380" s="27">
        <v>29000.0</v>
      </c>
      <c r="D380" s="28">
        <v>50.0</v>
      </c>
      <c r="E380" s="28"/>
      <c r="F380" s="26" t="s">
        <v>193</v>
      </c>
      <c r="G380" s="26" t="s">
        <v>195</v>
      </c>
      <c r="H380" s="30">
        <v>23100.0</v>
      </c>
      <c r="I380" s="30">
        <v>55000.0</v>
      </c>
      <c r="J380" s="28" t="s">
        <v>31</v>
      </c>
      <c r="K380" s="28">
        <v>9.0</v>
      </c>
      <c r="L380" s="26" t="str">
        <f t="shared" si="1"/>
        <v>Baixo</v>
      </c>
      <c r="M380" s="31" t="str">
        <f t="shared" si="2"/>
        <v>Aceito</v>
      </c>
      <c r="N380" s="31" t="str">
        <f t="shared" si="3"/>
        <v>Positiva</v>
      </c>
      <c r="O380" s="32">
        <v>17000.0</v>
      </c>
      <c r="P380" s="32">
        <f t="shared" si="4"/>
        <v>18360</v>
      </c>
      <c r="Q380" s="26">
        <f t="shared" si="5"/>
        <v>1</v>
      </c>
    </row>
    <row r="381">
      <c r="A381" s="33" t="s">
        <v>76</v>
      </c>
      <c r="B381" s="33" t="s">
        <v>989</v>
      </c>
      <c r="C381" s="34">
        <v>16600.0</v>
      </c>
      <c r="D381" s="35">
        <v>35.0</v>
      </c>
      <c r="E381" s="69">
        <v>33417.0</v>
      </c>
      <c r="F381" s="33" t="s">
        <v>258</v>
      </c>
      <c r="G381" s="33" t="s">
        <v>222</v>
      </c>
      <c r="H381" s="37">
        <v>12400.0</v>
      </c>
      <c r="I381" s="37">
        <v>36000.0</v>
      </c>
      <c r="J381" s="35" t="s">
        <v>31</v>
      </c>
      <c r="K381" s="35">
        <v>3.0</v>
      </c>
      <c r="L381" s="33" t="str">
        <f t="shared" si="1"/>
        <v>Baixo</v>
      </c>
      <c r="M381" s="38" t="str">
        <f t="shared" si="2"/>
        <v>Aceito</v>
      </c>
      <c r="N381" s="38" t="str">
        <f t="shared" si="3"/>
        <v>Positiva</v>
      </c>
      <c r="O381" s="39">
        <v>71500.0</v>
      </c>
      <c r="P381" s="35">
        <f t="shared" si="4"/>
        <v>0</v>
      </c>
      <c r="Q381" s="33">
        <f t="shared" si="5"/>
        <v>1</v>
      </c>
    </row>
    <row r="382">
      <c r="A382" s="26" t="s">
        <v>340</v>
      </c>
      <c r="B382" s="26" t="s">
        <v>1135</v>
      </c>
      <c r="C382" s="27">
        <v>14500.0</v>
      </c>
      <c r="D382" s="28">
        <v>64.0</v>
      </c>
      <c r="E382" s="67">
        <v>22845.0</v>
      </c>
      <c r="F382" s="26" t="s">
        <v>974</v>
      </c>
      <c r="G382" s="26" t="s">
        <v>340</v>
      </c>
      <c r="H382" s="30">
        <v>9400.0</v>
      </c>
      <c r="I382" s="30" t="s">
        <v>84</v>
      </c>
      <c r="J382" s="28" t="s">
        <v>31</v>
      </c>
      <c r="K382" s="28">
        <v>9.0</v>
      </c>
      <c r="L382" s="26" t="str">
        <f t="shared" si="1"/>
        <v>Baixo</v>
      </c>
      <c r="M382" s="31" t="str">
        <f t="shared" si="2"/>
        <v>Aceito</v>
      </c>
      <c r="N382" s="31" t="str">
        <f t="shared" si="3"/>
        <v>Positiva</v>
      </c>
      <c r="O382" s="32">
        <v>14500.0</v>
      </c>
      <c r="P382" s="28">
        <f t="shared" si="4"/>
        <v>0</v>
      </c>
      <c r="Q382" s="26">
        <f t="shared" si="5"/>
        <v>1</v>
      </c>
    </row>
    <row r="383">
      <c r="A383" s="33" t="s">
        <v>71</v>
      </c>
      <c r="B383" s="33" t="s">
        <v>1137</v>
      </c>
      <c r="C383" s="34" t="s">
        <v>1138</v>
      </c>
      <c r="D383" s="35">
        <v>36.0</v>
      </c>
      <c r="E383" s="69">
        <v>32908.0</v>
      </c>
      <c r="F383" s="33" t="s">
        <v>115</v>
      </c>
      <c r="G383" s="33" t="s">
        <v>117</v>
      </c>
      <c r="H383" s="37">
        <v>16600.0</v>
      </c>
      <c r="I383" s="37">
        <v>23500.0</v>
      </c>
      <c r="J383" s="35" t="s">
        <v>31</v>
      </c>
      <c r="K383" s="35">
        <v>10.0</v>
      </c>
      <c r="L383" s="33" t="str">
        <f t="shared" si="1"/>
        <v>Baixo</v>
      </c>
      <c r="M383" s="38" t="str">
        <f t="shared" si="2"/>
        <v>Aceito</v>
      </c>
      <c r="N383" s="38" t="str">
        <f t="shared" si="3"/>
        <v>Positiva</v>
      </c>
      <c r="O383" s="39">
        <v>21500.0</v>
      </c>
      <c r="P383" s="39">
        <f t="shared" si="4"/>
        <v>23220</v>
      </c>
      <c r="Q383" s="33">
        <f t="shared" si="5"/>
        <v>1</v>
      </c>
    </row>
    <row r="384">
      <c r="A384" s="26" t="s">
        <v>71</v>
      </c>
      <c r="B384" s="26" t="s">
        <v>1140</v>
      </c>
      <c r="C384" s="27">
        <v>1800.0</v>
      </c>
      <c r="D384" s="28">
        <v>26.0</v>
      </c>
      <c r="E384" s="68">
        <v>36757.0</v>
      </c>
      <c r="F384" s="26" t="s">
        <v>306</v>
      </c>
      <c r="G384" s="26" t="s">
        <v>222</v>
      </c>
      <c r="H384" s="30">
        <v>18400.0</v>
      </c>
      <c r="I384" s="30">
        <v>0.0</v>
      </c>
      <c r="J384" s="28" t="s">
        <v>32</v>
      </c>
      <c r="K384" s="28">
        <v>31.0</v>
      </c>
      <c r="L384" s="26" t="str">
        <f t="shared" si="1"/>
        <v>Alto</v>
      </c>
      <c r="M384" s="31" t="str">
        <f t="shared" si="2"/>
        <v>Negado</v>
      </c>
      <c r="N384" s="31" t="str">
        <f t="shared" si="3"/>
        <v>Positiva</v>
      </c>
      <c r="O384" s="32">
        <v>89500.0</v>
      </c>
      <c r="P384" s="32">
        <f t="shared" si="4"/>
        <v>96660</v>
      </c>
      <c r="Q384" s="26">
        <f t="shared" si="5"/>
        <v>1</v>
      </c>
    </row>
    <row r="385">
      <c r="A385" s="33" t="s">
        <v>76</v>
      </c>
      <c r="B385" s="33" t="s">
        <v>189</v>
      </c>
      <c r="C385" s="34" t="s">
        <v>190</v>
      </c>
      <c r="D385" s="35">
        <v>47.0</v>
      </c>
      <c r="E385" s="69">
        <v>29064.0</v>
      </c>
      <c r="F385" s="33" t="s">
        <v>193</v>
      </c>
      <c r="G385" s="33" t="s">
        <v>195</v>
      </c>
      <c r="H385" s="37">
        <v>13300.0</v>
      </c>
      <c r="I385" s="37">
        <v>1000.0</v>
      </c>
      <c r="J385" s="35" t="s">
        <v>32</v>
      </c>
      <c r="K385" s="35">
        <v>24.0</v>
      </c>
      <c r="L385" s="33" t="str">
        <f t="shared" si="1"/>
        <v>Médio</v>
      </c>
      <c r="M385" s="38" t="str">
        <f t="shared" si="2"/>
        <v>Aceito</v>
      </c>
      <c r="N385" s="38" t="str">
        <f t="shared" si="3"/>
        <v>Positiva</v>
      </c>
      <c r="O385" s="39">
        <v>39500.0</v>
      </c>
      <c r="P385" s="35">
        <f t="shared" si="4"/>
        <v>0</v>
      </c>
      <c r="Q385" s="33">
        <f t="shared" si="5"/>
        <v>1</v>
      </c>
    </row>
    <row r="386">
      <c r="A386" s="26" t="s">
        <v>71</v>
      </c>
      <c r="B386" s="26" t="s">
        <v>1141</v>
      </c>
      <c r="C386" s="27" t="s">
        <v>1142</v>
      </c>
      <c r="D386" s="28">
        <v>49.0</v>
      </c>
      <c r="E386" s="67">
        <v>28136.0</v>
      </c>
      <c r="F386" s="26" t="s">
        <v>258</v>
      </c>
      <c r="G386" s="26" t="s">
        <v>222</v>
      </c>
      <c r="H386" s="30">
        <v>20300.0</v>
      </c>
      <c r="I386" s="30">
        <v>12000.0</v>
      </c>
      <c r="J386" s="28" t="s">
        <v>32</v>
      </c>
      <c r="K386" s="28">
        <v>27.0</v>
      </c>
      <c r="L386" s="26" t="str">
        <f t="shared" si="1"/>
        <v>Alto</v>
      </c>
      <c r="M386" s="31" t="str">
        <f t="shared" si="2"/>
        <v>Negado</v>
      </c>
      <c r="N386" s="31" t="str">
        <f t="shared" si="3"/>
        <v>Positiva</v>
      </c>
      <c r="O386" s="32">
        <v>67500.0</v>
      </c>
      <c r="P386" s="32">
        <f t="shared" si="4"/>
        <v>72900</v>
      </c>
      <c r="Q386" s="26">
        <f t="shared" si="5"/>
        <v>1</v>
      </c>
    </row>
    <row r="387">
      <c r="A387" s="33" t="s">
        <v>71</v>
      </c>
      <c r="B387" s="33" t="s">
        <v>1143</v>
      </c>
      <c r="C387" s="34" t="s">
        <v>1144</v>
      </c>
      <c r="D387" s="35">
        <v>73.0</v>
      </c>
      <c r="E387" s="66">
        <v>19364.0</v>
      </c>
      <c r="F387" s="33" t="s">
        <v>306</v>
      </c>
      <c r="G387" s="33" t="s">
        <v>222</v>
      </c>
      <c r="H387" s="37">
        <v>16500.0</v>
      </c>
      <c r="I387" s="37">
        <v>54000.0</v>
      </c>
      <c r="J387" s="35" t="s">
        <v>31</v>
      </c>
      <c r="K387" s="35">
        <v>11.0</v>
      </c>
      <c r="L387" s="33" t="str">
        <f t="shared" si="1"/>
        <v>Médio</v>
      </c>
      <c r="M387" s="38" t="str">
        <f t="shared" si="2"/>
        <v>Aceito</v>
      </c>
      <c r="N387" s="38" t="str">
        <f t="shared" si="3"/>
        <v>Positiva</v>
      </c>
      <c r="O387" s="39">
        <v>33500.0</v>
      </c>
      <c r="P387" s="39">
        <f t="shared" si="4"/>
        <v>36180</v>
      </c>
      <c r="Q387" s="33">
        <f t="shared" si="5"/>
        <v>1</v>
      </c>
    </row>
    <row r="388">
      <c r="A388" s="26" t="s">
        <v>71</v>
      </c>
      <c r="B388" s="26" t="s">
        <v>1145</v>
      </c>
      <c r="C388" s="27" t="s">
        <v>1146</v>
      </c>
      <c r="D388" s="28">
        <v>26.0</v>
      </c>
      <c r="E388" s="67">
        <v>36422.0</v>
      </c>
      <c r="F388" s="26" t="s">
        <v>82</v>
      </c>
      <c r="G388" s="26" t="s">
        <v>83</v>
      </c>
      <c r="H388" s="30">
        <v>8900.0</v>
      </c>
      <c r="I388" s="30">
        <v>72000.0</v>
      </c>
      <c r="J388" s="28" t="s">
        <v>109</v>
      </c>
      <c r="K388" s="28">
        <v>17.0</v>
      </c>
      <c r="L388" s="26" t="str">
        <f t="shared" si="1"/>
        <v>Médio</v>
      </c>
      <c r="M388" s="31" t="str">
        <f t="shared" si="2"/>
        <v>Aceito</v>
      </c>
      <c r="N388" s="31" t="str">
        <f t="shared" si="3"/>
        <v>Positiva</v>
      </c>
      <c r="O388" s="32">
        <v>11000.0</v>
      </c>
      <c r="P388" s="32">
        <f t="shared" si="4"/>
        <v>11880</v>
      </c>
      <c r="Q388" s="26">
        <f t="shared" si="5"/>
        <v>1</v>
      </c>
    </row>
    <row r="389">
      <c r="A389" s="33" t="s">
        <v>71</v>
      </c>
      <c r="B389" s="33" t="s">
        <v>1001</v>
      </c>
      <c r="C389" s="34" t="s">
        <v>1147</v>
      </c>
      <c r="D389" s="35">
        <v>33.0</v>
      </c>
      <c r="E389" s="69">
        <v>33892.0</v>
      </c>
      <c r="F389" s="33" t="s">
        <v>136</v>
      </c>
      <c r="G389" s="33" t="s">
        <v>340</v>
      </c>
      <c r="H389" s="37">
        <v>29200.0</v>
      </c>
      <c r="I389" s="37">
        <v>3000.0</v>
      </c>
      <c r="J389" s="35" t="s">
        <v>32</v>
      </c>
      <c r="K389" s="35">
        <v>40.0</v>
      </c>
      <c r="L389" s="33" t="str">
        <f t="shared" si="1"/>
        <v>Alto</v>
      </c>
      <c r="M389" s="38" t="str">
        <f t="shared" si="2"/>
        <v>Negado</v>
      </c>
      <c r="N389" s="38" t="str">
        <f t="shared" si="3"/>
        <v>Positiva</v>
      </c>
      <c r="O389" s="39">
        <v>26000.0</v>
      </c>
      <c r="P389" s="39">
        <f t="shared" si="4"/>
        <v>28080</v>
      </c>
      <c r="Q389" s="33">
        <f t="shared" si="5"/>
        <v>1</v>
      </c>
    </row>
    <row r="390">
      <c r="A390" s="26" t="s">
        <v>71</v>
      </c>
      <c r="B390" s="26" t="s">
        <v>1148</v>
      </c>
      <c r="C390" s="27" t="s">
        <v>1149</v>
      </c>
      <c r="D390" s="28" t="s">
        <v>1150</v>
      </c>
      <c r="E390" s="68">
        <v>21671.0</v>
      </c>
      <c r="F390" s="26" t="s">
        <v>78</v>
      </c>
      <c r="G390" s="26" t="s">
        <v>79</v>
      </c>
      <c r="H390" s="30">
        <v>6500.0</v>
      </c>
      <c r="I390" s="30">
        <v>42500.0</v>
      </c>
      <c r="J390" s="28" t="s">
        <v>32</v>
      </c>
      <c r="K390" s="28">
        <v>3.0</v>
      </c>
      <c r="L390" s="26" t="str">
        <f t="shared" si="1"/>
        <v>Baixo</v>
      </c>
      <c r="M390" s="31" t="str">
        <f t="shared" si="2"/>
        <v>Aceito</v>
      </c>
      <c r="N390" s="31" t="str">
        <f t="shared" si="3"/>
        <v>Positiva</v>
      </c>
      <c r="O390" s="32">
        <v>8000.0</v>
      </c>
      <c r="P390" s="32">
        <f t="shared" si="4"/>
        <v>8640</v>
      </c>
      <c r="Q390" s="26">
        <f t="shared" si="5"/>
        <v>1</v>
      </c>
    </row>
    <row r="391">
      <c r="A391" s="33" t="s">
        <v>71</v>
      </c>
      <c r="B391" s="33" t="s">
        <v>1151</v>
      </c>
      <c r="C391" s="34">
        <v>18300.0</v>
      </c>
      <c r="D391" s="35">
        <v>72.0</v>
      </c>
      <c r="E391" s="69">
        <v>19801.0</v>
      </c>
      <c r="F391" s="33" t="s">
        <v>316</v>
      </c>
      <c r="G391" s="33" t="s">
        <v>83</v>
      </c>
      <c r="H391" s="37">
        <v>10200.0</v>
      </c>
      <c r="I391" s="37">
        <v>0.0</v>
      </c>
      <c r="J391" s="35" t="s">
        <v>31</v>
      </c>
      <c r="K391" s="35">
        <v>27.0</v>
      </c>
      <c r="L391" s="33" t="str">
        <f t="shared" si="1"/>
        <v>Alto</v>
      </c>
      <c r="M391" s="38" t="str">
        <f t="shared" si="2"/>
        <v>Aceito</v>
      </c>
      <c r="N391" s="38" t="str">
        <f t="shared" si="3"/>
        <v>Positiva</v>
      </c>
      <c r="O391" s="39">
        <v>99500.0</v>
      </c>
      <c r="P391" s="39">
        <f t="shared" si="4"/>
        <v>107460</v>
      </c>
      <c r="Q391" s="33">
        <f t="shared" si="5"/>
        <v>1</v>
      </c>
    </row>
    <row r="392">
      <c r="A392" s="26" t="s">
        <v>71</v>
      </c>
      <c r="B392" s="26" t="s">
        <v>1152</v>
      </c>
      <c r="C392" s="27" t="s">
        <v>1153</v>
      </c>
      <c r="D392" s="28">
        <v>35.0</v>
      </c>
      <c r="E392" s="67">
        <v>33370.0</v>
      </c>
      <c r="F392" s="26" t="s">
        <v>82</v>
      </c>
      <c r="G392" s="26" t="s">
        <v>83</v>
      </c>
      <c r="H392" s="30">
        <v>5600.0</v>
      </c>
      <c r="I392" s="30">
        <v>69500.0</v>
      </c>
      <c r="J392" s="28" t="s">
        <v>31</v>
      </c>
      <c r="K392" s="28">
        <v>13.0</v>
      </c>
      <c r="L392" s="26" t="str">
        <f t="shared" si="1"/>
        <v>Médio</v>
      </c>
      <c r="M392" s="31" t="str">
        <f t="shared" si="2"/>
        <v>Aceito</v>
      </c>
      <c r="N392" s="31" t="str">
        <f t="shared" si="3"/>
        <v>Positiva</v>
      </c>
      <c r="O392" s="32">
        <v>43500.0</v>
      </c>
      <c r="P392" s="32">
        <f t="shared" si="4"/>
        <v>46980</v>
      </c>
      <c r="Q392" s="26">
        <f t="shared" si="5"/>
        <v>1</v>
      </c>
    </row>
    <row r="393">
      <c r="A393" s="33" t="s">
        <v>71</v>
      </c>
      <c r="B393" s="33" t="s">
        <v>675</v>
      </c>
      <c r="C393" s="34" t="s">
        <v>1155</v>
      </c>
      <c r="D393" s="35">
        <v>33.0</v>
      </c>
      <c r="E393" s="69">
        <v>34084.0</v>
      </c>
      <c r="F393" s="33" t="s">
        <v>234</v>
      </c>
      <c r="G393" s="33" t="s">
        <v>205</v>
      </c>
      <c r="H393" s="37">
        <v>29700.0</v>
      </c>
      <c r="I393" s="37">
        <v>38000.0</v>
      </c>
      <c r="J393" s="35" t="s">
        <v>32</v>
      </c>
      <c r="K393" s="35">
        <v>41.0</v>
      </c>
      <c r="L393" s="33" t="str">
        <f t="shared" si="1"/>
        <v>Alto</v>
      </c>
      <c r="M393" s="38" t="str">
        <f t="shared" si="2"/>
        <v>Negado</v>
      </c>
      <c r="N393" s="38" t="str">
        <f t="shared" si="3"/>
        <v>Positiva</v>
      </c>
      <c r="O393" s="39">
        <v>83500.0</v>
      </c>
      <c r="P393" s="39">
        <f t="shared" si="4"/>
        <v>90180</v>
      </c>
      <c r="Q393" s="33">
        <f t="shared" si="5"/>
        <v>1</v>
      </c>
    </row>
    <row r="394">
      <c r="A394" s="26" t="s">
        <v>71</v>
      </c>
      <c r="B394" s="26" t="s">
        <v>1157</v>
      </c>
      <c r="C394" s="27" t="s">
        <v>1158</v>
      </c>
      <c r="D394" s="28">
        <v>58.0</v>
      </c>
      <c r="E394" s="67">
        <v>24777.0</v>
      </c>
      <c r="F394" s="26" t="s">
        <v>74</v>
      </c>
      <c r="G394" s="26" t="s">
        <v>75</v>
      </c>
      <c r="H394" s="30">
        <v>22200.0</v>
      </c>
      <c r="I394" s="30">
        <v>0.0</v>
      </c>
      <c r="J394" s="28" t="s">
        <v>31</v>
      </c>
      <c r="K394" s="28">
        <v>42.0</v>
      </c>
      <c r="L394" s="26" t="str">
        <f t="shared" si="1"/>
        <v>Alto</v>
      </c>
      <c r="M394" s="31" t="str">
        <f t="shared" si="2"/>
        <v>Aceito</v>
      </c>
      <c r="N394" s="31" t="str">
        <f t="shared" si="3"/>
        <v>Positiva</v>
      </c>
      <c r="O394" s="32">
        <v>33000.0</v>
      </c>
      <c r="P394" s="32">
        <f t="shared" si="4"/>
        <v>35640</v>
      </c>
      <c r="Q394" s="26">
        <f t="shared" si="5"/>
        <v>1</v>
      </c>
    </row>
    <row r="395">
      <c r="A395" s="33" t="s">
        <v>76</v>
      </c>
      <c r="B395" s="33" t="s">
        <v>1007</v>
      </c>
      <c r="C395" s="34" t="s">
        <v>710</v>
      </c>
      <c r="D395" s="35">
        <v>65.0</v>
      </c>
      <c r="E395" s="69">
        <v>22205.0</v>
      </c>
      <c r="F395" s="33" t="s">
        <v>203</v>
      </c>
      <c r="G395" s="33" t="s">
        <v>205</v>
      </c>
      <c r="H395" s="37">
        <v>19800.0</v>
      </c>
      <c r="I395" s="37">
        <v>78500.0</v>
      </c>
      <c r="J395" s="35" t="s">
        <v>31</v>
      </c>
      <c r="K395" s="35">
        <v>34.0</v>
      </c>
      <c r="L395" s="33" t="str">
        <f t="shared" si="1"/>
        <v>Alto</v>
      </c>
      <c r="M395" s="38" t="str">
        <f t="shared" si="2"/>
        <v>Aceito</v>
      </c>
      <c r="N395" s="38" t="str">
        <f t="shared" si="3"/>
        <v>Positiva</v>
      </c>
      <c r="O395" s="39">
        <v>84000.0</v>
      </c>
      <c r="P395" s="35">
        <f t="shared" si="4"/>
        <v>0</v>
      </c>
      <c r="Q395" s="33">
        <f t="shared" si="5"/>
        <v>1</v>
      </c>
    </row>
    <row r="396">
      <c r="A396" s="26" t="s">
        <v>76</v>
      </c>
      <c r="B396" s="26" t="s">
        <v>1080</v>
      </c>
      <c r="C396" s="27">
        <v>8400.0</v>
      </c>
      <c r="D396" s="28">
        <v>38.0</v>
      </c>
      <c r="E396" s="67">
        <v>32351.0</v>
      </c>
      <c r="F396" s="26" t="s">
        <v>82</v>
      </c>
      <c r="G396" s="26" t="s">
        <v>83</v>
      </c>
      <c r="H396" s="30">
        <v>23600.0</v>
      </c>
      <c r="I396" s="30">
        <v>0.0</v>
      </c>
      <c r="J396" s="28" t="s">
        <v>31</v>
      </c>
      <c r="K396" s="28"/>
      <c r="L396" s="26" t="str">
        <f t="shared" si="1"/>
        <v>Baixo</v>
      </c>
      <c r="M396" s="31" t="str">
        <f t="shared" si="2"/>
        <v>Aceito</v>
      </c>
      <c r="N396" s="31" t="str">
        <f t="shared" si="3"/>
        <v>Positiva</v>
      </c>
      <c r="O396" s="32">
        <v>28500.0</v>
      </c>
      <c r="P396" s="28">
        <f t="shared" si="4"/>
        <v>0</v>
      </c>
      <c r="Q396" s="26">
        <f t="shared" si="5"/>
        <v>1</v>
      </c>
    </row>
    <row r="397">
      <c r="A397" s="33" t="s">
        <v>71</v>
      </c>
      <c r="B397" s="33" t="s">
        <v>810</v>
      </c>
      <c r="C397" s="34" t="s">
        <v>1160</v>
      </c>
      <c r="D397" s="35">
        <v>60.0</v>
      </c>
      <c r="E397" s="69">
        <v>24100.0</v>
      </c>
      <c r="F397" s="33" t="s">
        <v>193</v>
      </c>
      <c r="G397" s="33" t="s">
        <v>195</v>
      </c>
      <c r="H397" s="37">
        <v>9700.0</v>
      </c>
      <c r="I397" s="37">
        <v>61000.0</v>
      </c>
      <c r="J397" s="35" t="s">
        <v>32</v>
      </c>
      <c r="K397" s="35">
        <v>9.0</v>
      </c>
      <c r="L397" s="33" t="str">
        <f t="shared" si="1"/>
        <v>Baixo</v>
      </c>
      <c r="M397" s="38" t="str">
        <f t="shared" si="2"/>
        <v>Aceito</v>
      </c>
      <c r="N397" s="38" t="str">
        <f t="shared" si="3"/>
        <v>Negativa</v>
      </c>
      <c r="O397" s="39">
        <v>88000.0</v>
      </c>
      <c r="P397" s="39">
        <f t="shared" si="4"/>
        <v>95040</v>
      </c>
      <c r="Q397" s="33">
        <f t="shared" si="5"/>
        <v>1</v>
      </c>
    </row>
    <row r="398">
      <c r="A398" s="26" t="s">
        <v>71</v>
      </c>
      <c r="B398" s="26" t="s">
        <v>1181</v>
      </c>
      <c r="C398" s="27">
        <v>5300.0</v>
      </c>
      <c r="D398" s="28">
        <v>56.0</v>
      </c>
      <c r="E398" s="68">
        <v>25578.0</v>
      </c>
      <c r="F398" s="26" t="s">
        <v>100</v>
      </c>
      <c r="G398" s="26" t="s">
        <v>88</v>
      </c>
      <c r="H398" s="30">
        <v>14900.0</v>
      </c>
      <c r="I398" s="30">
        <v>0.0</v>
      </c>
      <c r="J398" s="28" t="s">
        <v>31</v>
      </c>
      <c r="K398" s="28">
        <v>13.0</v>
      </c>
      <c r="L398" s="26" t="str">
        <f t="shared" si="1"/>
        <v>Médio</v>
      </c>
      <c r="M398" s="31" t="str">
        <f t="shared" si="2"/>
        <v>Aceito</v>
      </c>
      <c r="N398" s="31" t="str">
        <f t="shared" si="3"/>
        <v>Positiva</v>
      </c>
      <c r="O398" s="32">
        <v>71000.0</v>
      </c>
      <c r="P398" s="32">
        <f t="shared" si="4"/>
        <v>76680</v>
      </c>
      <c r="Q398" s="26">
        <f t="shared" si="5"/>
        <v>1</v>
      </c>
    </row>
    <row r="399">
      <c r="A399" s="33" t="s">
        <v>71</v>
      </c>
      <c r="B399" s="33" t="s">
        <v>1162</v>
      </c>
      <c r="C399" s="34" t="s">
        <v>1163</v>
      </c>
      <c r="D399" s="35">
        <v>35.0</v>
      </c>
      <c r="E399" s="69">
        <v>33306.0</v>
      </c>
      <c r="F399" s="33" t="s">
        <v>78</v>
      </c>
      <c r="G399" s="33" t="s">
        <v>79</v>
      </c>
      <c r="H399" s="37">
        <v>9700.0</v>
      </c>
      <c r="I399" s="37" t="s">
        <v>84</v>
      </c>
      <c r="J399" s="35" t="s">
        <v>31</v>
      </c>
      <c r="K399" s="35">
        <v>20.0</v>
      </c>
      <c r="L399" s="33" t="str">
        <f t="shared" si="1"/>
        <v>Médio</v>
      </c>
      <c r="M399" s="38" t="str">
        <f t="shared" si="2"/>
        <v>Aceito</v>
      </c>
      <c r="N399" s="38" t="str">
        <f t="shared" si="3"/>
        <v>Positiva</v>
      </c>
      <c r="O399" s="39">
        <v>31000.0</v>
      </c>
      <c r="P399" s="39">
        <f t="shared" si="4"/>
        <v>33480</v>
      </c>
      <c r="Q399" s="33">
        <f t="shared" si="5"/>
        <v>1</v>
      </c>
    </row>
    <row r="400">
      <c r="A400" s="26" t="s">
        <v>71</v>
      </c>
      <c r="B400" s="26" t="s">
        <v>1164</v>
      </c>
      <c r="C400" s="27">
        <v>7200.0</v>
      </c>
      <c r="D400" s="28">
        <v>72.0</v>
      </c>
      <c r="E400" s="67">
        <v>19852.0</v>
      </c>
      <c r="F400" s="26" t="s">
        <v>428</v>
      </c>
      <c r="G400" s="26" t="s">
        <v>79</v>
      </c>
      <c r="H400" s="30">
        <v>27100.0</v>
      </c>
      <c r="I400" s="30">
        <v>71000.0</v>
      </c>
      <c r="J400" s="28" t="s">
        <v>31</v>
      </c>
      <c r="K400" s="28">
        <v>32.0</v>
      </c>
      <c r="L400" s="26" t="str">
        <f t="shared" si="1"/>
        <v>Alto</v>
      </c>
      <c r="M400" s="31" t="str">
        <f t="shared" si="2"/>
        <v>Aceito</v>
      </c>
      <c r="N400" s="31" t="str">
        <f t="shared" si="3"/>
        <v>Positiva</v>
      </c>
      <c r="O400" s="32">
        <v>29500.0</v>
      </c>
      <c r="P400" s="32">
        <f t="shared" si="4"/>
        <v>31860</v>
      </c>
      <c r="Q400" s="26">
        <f t="shared" si="5"/>
        <v>1</v>
      </c>
    </row>
    <row r="401">
      <c r="A401" s="33" t="s">
        <v>71</v>
      </c>
      <c r="B401" s="33" t="s">
        <v>1165</v>
      </c>
      <c r="C401" s="34" t="s">
        <v>1167</v>
      </c>
      <c r="D401" s="35">
        <v>52.0</v>
      </c>
      <c r="E401" s="66">
        <v>27214.0</v>
      </c>
      <c r="F401" s="33" t="s">
        <v>672</v>
      </c>
      <c r="G401" s="33" t="s">
        <v>340</v>
      </c>
      <c r="H401" s="37">
        <v>17500.0</v>
      </c>
      <c r="I401" s="37">
        <v>6500.0</v>
      </c>
      <c r="J401" s="35" t="s">
        <v>109</v>
      </c>
      <c r="K401" s="35"/>
      <c r="L401" s="33" t="str">
        <f t="shared" si="1"/>
        <v>Baixo</v>
      </c>
      <c r="M401" s="38" t="str">
        <f t="shared" si="2"/>
        <v>Aceito</v>
      </c>
      <c r="N401" s="38" t="str">
        <f t="shared" si="3"/>
        <v>Positiva</v>
      </c>
      <c r="O401" s="39">
        <v>42500.0</v>
      </c>
      <c r="P401" s="39">
        <f t="shared" si="4"/>
        <v>45900</v>
      </c>
      <c r="Q401" s="33">
        <f t="shared" si="5"/>
        <v>1</v>
      </c>
    </row>
    <row r="402">
      <c r="A402" s="26" t="s">
        <v>71</v>
      </c>
      <c r="B402" s="26" t="s">
        <v>1114</v>
      </c>
      <c r="C402" s="27">
        <v>3300.0</v>
      </c>
      <c r="D402" s="28">
        <v>31.0</v>
      </c>
      <c r="E402" s="67">
        <v>34914.0</v>
      </c>
      <c r="F402" s="26" t="s">
        <v>100</v>
      </c>
      <c r="G402" s="26" t="s">
        <v>88</v>
      </c>
      <c r="H402" s="30">
        <v>20800.0</v>
      </c>
      <c r="I402" s="30">
        <v>17500.0</v>
      </c>
      <c r="J402" s="28" t="s">
        <v>31</v>
      </c>
      <c r="K402" s="28">
        <v>35.0</v>
      </c>
      <c r="L402" s="26" t="str">
        <f t="shared" si="1"/>
        <v>Alto</v>
      </c>
      <c r="M402" s="31" t="str">
        <f t="shared" si="2"/>
        <v>Aceito</v>
      </c>
      <c r="N402" s="31" t="str">
        <f t="shared" si="3"/>
        <v>Positiva</v>
      </c>
      <c r="O402" s="32">
        <v>58000.0</v>
      </c>
      <c r="P402" s="32">
        <f t="shared" si="4"/>
        <v>62640</v>
      </c>
      <c r="Q402" s="26">
        <f t="shared" si="5"/>
        <v>1</v>
      </c>
    </row>
    <row r="403">
      <c r="N403" s="71"/>
    </row>
    <row r="404">
      <c r="N404" s="71"/>
    </row>
    <row r="405">
      <c r="N405" s="71"/>
    </row>
    <row r="406">
      <c r="N406" s="71"/>
    </row>
    <row r="407">
      <c r="N407" s="71"/>
    </row>
    <row r="408">
      <c r="N408" s="71"/>
    </row>
    <row r="409">
      <c r="N409" s="71"/>
    </row>
    <row r="410">
      <c r="N410" s="71"/>
    </row>
    <row r="411">
      <c r="N411" s="71"/>
    </row>
    <row r="412">
      <c r="N412" s="71"/>
    </row>
    <row r="413">
      <c r="N413" s="71"/>
    </row>
    <row r="414">
      <c r="N414" s="71"/>
    </row>
    <row r="415">
      <c r="N415" s="71"/>
    </row>
    <row r="416">
      <c r="N416" s="71"/>
    </row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Q$402"/>
  <conditionalFormatting sqref="N1:N402">
    <cfRule type="cellIs" dxfId="10" priority="1" operator="equal">
      <formula>"Positiva"</formula>
    </cfRule>
  </conditionalFormatting>
  <conditionalFormatting sqref="N1:N1000">
    <cfRule type="cellIs" dxfId="11" priority="2" operator="equal">
      <formula>"Negativa"</formula>
    </cfRule>
  </conditionalFormatting>
  <conditionalFormatting sqref="M1:M402">
    <cfRule type="cellIs" dxfId="11" priority="3" operator="equal">
      <formula>"Negado"</formula>
    </cfRule>
  </conditionalFormatting>
  <conditionalFormatting sqref="M1:M402">
    <cfRule type="cellIs" dxfId="10" priority="4" operator="equal">
      <formula>"Aceito"</formula>
    </cfRule>
  </conditionalFormatting>
  <conditionalFormatting sqref="C1:C402">
    <cfRule type="expression" dxfId="12" priority="5">
      <formula>COUNTIF(C:C, C1) &gt; 1</formula>
    </cfRule>
  </conditionalFormatting>
  <conditionalFormatting sqref="B1:B402">
    <cfRule type="expression" dxfId="12" priority="6">
      <formula>COUNTIF(C:C, C1) &gt; 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2.63"/>
    <col customWidth="1" min="3" max="3" width="12.75"/>
    <col customWidth="1" min="4" max="4" width="7.0"/>
    <col customWidth="1" min="5" max="5" width="13.75"/>
    <col customWidth="1" min="6" max="6" width="27.25"/>
    <col customWidth="1" min="7" max="7" width="22.25"/>
    <col customWidth="1" min="8" max="8" width="12.13"/>
    <col customWidth="1" min="9" max="9" width="12.5"/>
    <col customWidth="1" min="10" max="10" width="14.13"/>
    <col customWidth="1" min="11" max="11" width="11.5"/>
    <col customWidth="1" min="12" max="12" width="8.88"/>
    <col customWidth="1" min="13" max="13" width="12.5"/>
  </cols>
  <sheetData>
    <row r="1">
      <c r="A1" s="40" t="s">
        <v>55</v>
      </c>
      <c r="B1" s="40" t="s">
        <v>56</v>
      </c>
      <c r="C1" s="40" t="s">
        <v>57</v>
      </c>
      <c r="D1" s="40" t="s">
        <v>58</v>
      </c>
      <c r="E1" s="40" t="s">
        <v>59</v>
      </c>
      <c r="F1" s="40" t="s">
        <v>60</v>
      </c>
      <c r="G1" s="40" t="s">
        <v>61</v>
      </c>
      <c r="H1" s="40" t="s">
        <v>62</v>
      </c>
      <c r="I1" s="40" t="s">
        <v>63</v>
      </c>
      <c r="J1" s="40" t="s">
        <v>64</v>
      </c>
      <c r="K1" s="40" t="s">
        <v>65</v>
      </c>
      <c r="L1" s="40" t="s">
        <v>66</v>
      </c>
      <c r="M1" s="40" t="s">
        <v>69</v>
      </c>
    </row>
    <row r="2">
      <c r="A2" s="40" t="s">
        <v>71</v>
      </c>
      <c r="B2" s="40" t="s">
        <v>72</v>
      </c>
      <c r="C2" s="40" t="s">
        <v>73</v>
      </c>
      <c r="D2" s="40">
        <v>32.0</v>
      </c>
      <c r="E2" s="40" t="s">
        <v>97</v>
      </c>
      <c r="F2" s="40" t="s">
        <v>74</v>
      </c>
      <c r="G2" s="40" t="s">
        <v>75</v>
      </c>
      <c r="H2" s="40">
        <v>15600.0</v>
      </c>
      <c r="I2" s="40">
        <v>0.0</v>
      </c>
      <c r="J2" s="40" t="s">
        <v>32</v>
      </c>
      <c r="K2" s="40">
        <v>34.0</v>
      </c>
      <c r="L2" s="40"/>
      <c r="M2" s="40">
        <v>16000.0</v>
      </c>
    </row>
    <row r="3">
      <c r="A3" s="40" t="s">
        <v>76</v>
      </c>
      <c r="B3" s="40" t="s">
        <v>77</v>
      </c>
      <c r="C3" s="40">
        <v>36100.0</v>
      </c>
      <c r="D3" s="40">
        <v>24.0</v>
      </c>
      <c r="E3" s="40" t="s">
        <v>101</v>
      </c>
      <c r="F3" s="40" t="s">
        <v>78</v>
      </c>
      <c r="G3" s="40" t="s">
        <v>102</v>
      </c>
      <c r="H3" s="40" t="s">
        <v>104</v>
      </c>
      <c r="I3" s="40">
        <v>76500.0</v>
      </c>
      <c r="J3" s="40" t="s">
        <v>32</v>
      </c>
      <c r="K3" s="40">
        <v>33.0</v>
      </c>
      <c r="L3" s="40"/>
      <c r="M3" s="40">
        <v>26000.0</v>
      </c>
    </row>
    <row r="4">
      <c r="A4" s="40" t="s">
        <v>71</v>
      </c>
      <c r="B4" s="40" t="s">
        <v>80</v>
      </c>
      <c r="C4" s="40" t="s">
        <v>81</v>
      </c>
      <c r="D4" s="40">
        <v>33.0</v>
      </c>
      <c r="E4" s="40">
        <v>34144.0</v>
      </c>
      <c r="F4" s="40" t="s">
        <v>82</v>
      </c>
      <c r="G4" s="40" t="s">
        <v>107</v>
      </c>
      <c r="H4" s="40" t="s">
        <v>108</v>
      </c>
      <c r="I4" s="40" t="s">
        <v>109</v>
      </c>
      <c r="J4" s="40" t="s">
        <v>110</v>
      </c>
      <c r="K4" s="40">
        <v>22.0</v>
      </c>
      <c r="L4" s="40"/>
      <c r="M4" s="40">
        <v>51500.0</v>
      </c>
    </row>
    <row r="5">
      <c r="A5" s="40" t="s">
        <v>71</v>
      </c>
      <c r="B5" s="40" t="s">
        <v>85</v>
      </c>
      <c r="C5" s="40" t="s">
        <v>86</v>
      </c>
      <c r="D5" s="40">
        <v>63.0</v>
      </c>
      <c r="E5" s="40">
        <v>23156.0</v>
      </c>
      <c r="F5" s="40" t="s">
        <v>114</v>
      </c>
      <c r="G5" s="40"/>
      <c r="H5" s="40" t="s">
        <v>118</v>
      </c>
      <c r="I5" s="40">
        <v>8500.0</v>
      </c>
      <c r="J5" s="40" t="s">
        <v>110</v>
      </c>
      <c r="K5" s="40">
        <v>39.0</v>
      </c>
      <c r="L5" s="40"/>
      <c r="M5" s="40">
        <v>36500.0</v>
      </c>
    </row>
    <row r="6">
      <c r="A6" s="40" t="s">
        <v>71</v>
      </c>
      <c r="B6" s="40" t="s">
        <v>89</v>
      </c>
      <c r="C6" s="40" t="s">
        <v>90</v>
      </c>
      <c r="D6" s="40">
        <v>32.0</v>
      </c>
      <c r="E6" s="40">
        <v>34299.0</v>
      </c>
      <c r="F6" s="40" t="s">
        <v>74</v>
      </c>
      <c r="G6" s="40" t="s">
        <v>123</v>
      </c>
      <c r="H6" s="40" t="s">
        <v>124</v>
      </c>
      <c r="I6" s="40"/>
      <c r="J6" s="40" t="s">
        <v>31</v>
      </c>
      <c r="K6" s="40">
        <v>5.0</v>
      </c>
      <c r="L6" s="40"/>
      <c r="M6" s="40">
        <v>65000.0</v>
      </c>
    </row>
    <row r="7">
      <c r="A7" s="40" t="s">
        <v>71</v>
      </c>
      <c r="B7" s="40" t="s">
        <v>91</v>
      </c>
      <c r="C7" s="40" t="s">
        <v>92</v>
      </c>
      <c r="D7" s="40">
        <v>48.0</v>
      </c>
      <c r="E7" s="40">
        <v>28647.0</v>
      </c>
      <c r="F7" s="40" t="s">
        <v>93</v>
      </c>
      <c r="G7" s="40"/>
      <c r="H7" s="40">
        <v>13200.0</v>
      </c>
      <c r="I7" s="40" t="s">
        <v>128</v>
      </c>
      <c r="J7" s="40" t="s">
        <v>31</v>
      </c>
      <c r="K7" s="40">
        <v>1.0</v>
      </c>
      <c r="L7" s="40"/>
      <c r="M7" s="40">
        <v>32500.0</v>
      </c>
    </row>
    <row r="8">
      <c r="A8" s="40" t="s">
        <v>131</v>
      </c>
      <c r="B8" s="40" t="s">
        <v>95</v>
      </c>
      <c r="C8" s="40" t="s">
        <v>96</v>
      </c>
      <c r="D8" s="40">
        <v>28.0</v>
      </c>
      <c r="E8" s="47">
        <v>35887.0</v>
      </c>
      <c r="F8" s="40" t="s">
        <v>93</v>
      </c>
      <c r="G8" s="40" t="s">
        <v>94</v>
      </c>
      <c r="H8" s="40" t="s">
        <v>141</v>
      </c>
      <c r="I8" s="40" t="s">
        <v>143</v>
      </c>
      <c r="J8" s="40" t="s">
        <v>32</v>
      </c>
      <c r="K8" s="40">
        <v>4.0</v>
      </c>
      <c r="L8" s="40"/>
      <c r="M8" s="40">
        <v>32500.0</v>
      </c>
    </row>
    <row r="9">
      <c r="A9" s="40" t="s">
        <v>76</v>
      </c>
      <c r="B9" s="40" t="s">
        <v>150</v>
      </c>
      <c r="C9" s="40" t="s">
        <v>99</v>
      </c>
      <c r="D9" s="40">
        <v>42.0</v>
      </c>
      <c r="E9" s="47">
        <v>30899.0</v>
      </c>
      <c r="F9" s="40" t="s">
        <v>100</v>
      </c>
      <c r="G9" s="40" t="s">
        <v>88</v>
      </c>
      <c r="H9" s="40" t="s">
        <v>155</v>
      </c>
      <c r="I9" s="40" t="s">
        <v>157</v>
      </c>
      <c r="J9" s="40" t="s">
        <v>31</v>
      </c>
      <c r="K9" s="40">
        <v>19.0</v>
      </c>
      <c r="L9" s="40"/>
      <c r="M9" s="40">
        <v>63500.0</v>
      </c>
    </row>
    <row r="10">
      <c r="A10" s="40" t="s">
        <v>71</v>
      </c>
      <c r="B10" s="40" t="s">
        <v>105</v>
      </c>
      <c r="C10" s="40" t="s">
        <v>106</v>
      </c>
      <c r="D10" s="40">
        <v>34.0</v>
      </c>
      <c r="E10" s="40" t="s">
        <v>166</v>
      </c>
      <c r="F10" s="40" t="s">
        <v>100</v>
      </c>
      <c r="G10" s="40" t="s">
        <v>168</v>
      </c>
      <c r="H10" s="40">
        <v>8000.0</v>
      </c>
      <c r="I10" s="40">
        <v>14.5</v>
      </c>
      <c r="J10" s="40" t="s">
        <v>32</v>
      </c>
      <c r="K10" s="40">
        <v>9.0</v>
      </c>
      <c r="L10" s="40"/>
      <c r="M10" s="40">
        <v>17500.0</v>
      </c>
    </row>
    <row r="11">
      <c r="A11" s="40" t="s">
        <v>76</v>
      </c>
      <c r="B11" s="40" t="s">
        <v>112</v>
      </c>
      <c r="C11" s="40" t="s">
        <v>113</v>
      </c>
      <c r="D11" s="40">
        <v>61.0</v>
      </c>
      <c r="E11" s="40" t="s">
        <v>175</v>
      </c>
      <c r="F11" s="40" t="s">
        <v>115</v>
      </c>
      <c r="G11" s="40" t="s">
        <v>117</v>
      </c>
      <c r="H11" s="40" t="s">
        <v>178</v>
      </c>
      <c r="I11" s="40">
        <v>44500.0</v>
      </c>
      <c r="J11" s="40" t="s">
        <v>32</v>
      </c>
      <c r="K11" s="40">
        <v>32.0</v>
      </c>
      <c r="L11" s="40"/>
      <c r="M11" s="40">
        <v>2000.0</v>
      </c>
    </row>
    <row r="12">
      <c r="A12" s="40" t="s">
        <v>71</v>
      </c>
      <c r="B12" s="40" t="s">
        <v>125</v>
      </c>
      <c r="C12" s="40" t="s">
        <v>126</v>
      </c>
      <c r="D12" s="40">
        <v>33.0</v>
      </c>
      <c r="E12" s="40">
        <v>34147.0</v>
      </c>
      <c r="F12" s="40" t="s">
        <v>115</v>
      </c>
      <c r="G12" s="40" t="s">
        <v>117</v>
      </c>
      <c r="H12" s="40">
        <v>28700.0</v>
      </c>
      <c r="I12" s="40">
        <v>12500.0</v>
      </c>
      <c r="J12" s="40" t="s">
        <v>31</v>
      </c>
      <c r="K12" s="40">
        <v>41.0</v>
      </c>
      <c r="L12" s="40"/>
      <c r="M12" s="40">
        <v>99500.0</v>
      </c>
    </row>
    <row r="13">
      <c r="A13" s="40" t="s">
        <v>71</v>
      </c>
      <c r="B13" s="40" t="s">
        <v>192</v>
      </c>
      <c r="C13" s="40">
        <v>35800.0</v>
      </c>
      <c r="D13" s="40">
        <v>70.0</v>
      </c>
      <c r="E13" s="40">
        <v>20515.0</v>
      </c>
      <c r="F13" s="40" t="s">
        <v>136</v>
      </c>
      <c r="G13" s="40" t="s">
        <v>117</v>
      </c>
      <c r="H13" s="40" t="s">
        <v>194</v>
      </c>
      <c r="I13" s="40">
        <v>62000.0</v>
      </c>
      <c r="J13" s="40" t="s">
        <v>32</v>
      </c>
      <c r="K13" s="40">
        <v>45.0</v>
      </c>
      <c r="L13" s="40"/>
      <c r="M13" s="40">
        <v>35500.0</v>
      </c>
    </row>
    <row r="14">
      <c r="A14" s="40" t="s">
        <v>71</v>
      </c>
      <c r="B14" s="40" t="s">
        <v>148</v>
      </c>
      <c r="C14" s="40" t="s">
        <v>149</v>
      </c>
      <c r="D14" s="40">
        <v>54.0</v>
      </c>
      <c r="E14" s="40" t="s">
        <v>200</v>
      </c>
      <c r="F14" s="40" t="s">
        <v>78</v>
      </c>
      <c r="G14" s="40" t="s">
        <v>102</v>
      </c>
      <c r="H14" s="40">
        <v>22100.0</v>
      </c>
      <c r="I14" s="40">
        <v>37000.0</v>
      </c>
      <c r="J14" s="40" t="s">
        <v>31</v>
      </c>
      <c r="K14" s="40">
        <v>34.0</v>
      </c>
      <c r="L14" s="40"/>
      <c r="M14" s="40">
        <v>87000.0</v>
      </c>
    </row>
    <row r="15">
      <c r="A15" s="40" t="s">
        <v>71</v>
      </c>
      <c r="B15" s="40" t="s">
        <v>163</v>
      </c>
      <c r="C15" s="40">
        <v>8600.0</v>
      </c>
      <c r="D15" s="40"/>
      <c r="E15" s="40">
        <v>32260.0</v>
      </c>
      <c r="F15" s="40" t="s">
        <v>100</v>
      </c>
      <c r="G15" s="40" t="s">
        <v>210</v>
      </c>
      <c r="H15" s="40" t="s">
        <v>212</v>
      </c>
      <c r="I15" s="40">
        <v>0.0</v>
      </c>
      <c r="J15" s="40" t="s">
        <v>32</v>
      </c>
      <c r="K15" s="40">
        <v>31.0</v>
      </c>
      <c r="L15" s="40"/>
      <c r="M15" s="40">
        <v>47500.0</v>
      </c>
    </row>
    <row r="16">
      <c r="A16" s="40" t="s">
        <v>76</v>
      </c>
      <c r="B16" s="40" t="s">
        <v>177</v>
      </c>
      <c r="C16" s="40">
        <v>200.0</v>
      </c>
      <c r="D16" s="40">
        <v>55.0</v>
      </c>
      <c r="E16" s="40">
        <v>25892.0</v>
      </c>
      <c r="F16" s="40" t="s">
        <v>78</v>
      </c>
      <c r="G16" s="40" t="s">
        <v>218</v>
      </c>
      <c r="H16" s="40">
        <v>5300.0</v>
      </c>
      <c r="I16" s="40">
        <v>6.5</v>
      </c>
      <c r="J16" s="40" t="s">
        <v>31</v>
      </c>
      <c r="K16" s="40">
        <v>42.0</v>
      </c>
      <c r="L16" s="40"/>
      <c r="M16" s="40">
        <v>96000.0</v>
      </c>
    </row>
    <row r="17">
      <c r="A17" s="40" t="s">
        <v>76</v>
      </c>
      <c r="B17" s="40" t="s">
        <v>189</v>
      </c>
      <c r="C17" s="40" t="s">
        <v>190</v>
      </c>
      <c r="D17" s="40">
        <v>47.0</v>
      </c>
      <c r="E17" s="40">
        <v>29064.0</v>
      </c>
      <c r="F17" s="40" t="s">
        <v>193</v>
      </c>
      <c r="G17" s="40" t="s">
        <v>195</v>
      </c>
      <c r="H17" s="40">
        <v>13300.0</v>
      </c>
      <c r="I17" s="40">
        <v>1000.0</v>
      </c>
      <c r="J17" s="40" t="s">
        <v>32</v>
      </c>
      <c r="K17" s="40">
        <v>24.0</v>
      </c>
      <c r="L17" s="40"/>
      <c r="M17" s="40">
        <v>61500.0</v>
      </c>
    </row>
    <row r="18">
      <c r="A18" s="40" t="s">
        <v>76</v>
      </c>
      <c r="B18" s="40" t="s">
        <v>201</v>
      </c>
      <c r="C18" s="40">
        <v>31800.0</v>
      </c>
      <c r="D18" s="40">
        <v>43.0</v>
      </c>
      <c r="E18" s="40">
        <v>30391.0</v>
      </c>
      <c r="F18" s="40" t="s">
        <v>203</v>
      </c>
      <c r="G18" s="40" t="s">
        <v>205</v>
      </c>
      <c r="H18" s="40">
        <v>7100.0</v>
      </c>
      <c r="I18" s="40" t="s">
        <v>227</v>
      </c>
      <c r="J18" s="40" t="s">
        <v>31</v>
      </c>
      <c r="K18" s="40">
        <v>23.0</v>
      </c>
      <c r="L18" s="40"/>
      <c r="M18" s="40">
        <v>67000.0</v>
      </c>
    </row>
    <row r="19">
      <c r="A19" s="40" t="s">
        <v>71</v>
      </c>
      <c r="B19" s="40" t="s">
        <v>213</v>
      </c>
      <c r="C19" s="40" t="s">
        <v>215</v>
      </c>
      <c r="D19" s="40">
        <v>32.0</v>
      </c>
      <c r="E19" s="47">
        <v>34398.0</v>
      </c>
      <c r="F19" s="40" t="s">
        <v>193</v>
      </c>
      <c r="G19" s="40" t="s">
        <v>230</v>
      </c>
      <c r="H19" s="40">
        <v>21.3</v>
      </c>
      <c r="I19" s="40" t="s">
        <v>231</v>
      </c>
      <c r="J19" s="40" t="s">
        <v>31</v>
      </c>
      <c r="K19" s="40">
        <v>11.0</v>
      </c>
      <c r="L19" s="40"/>
      <c r="M19" s="40">
        <v>35000.0</v>
      </c>
    </row>
    <row r="20">
      <c r="A20" s="40" t="s">
        <v>71</v>
      </c>
      <c r="B20" s="40" t="s">
        <v>219</v>
      </c>
      <c r="C20" s="40">
        <v>22300.0</v>
      </c>
      <c r="D20" s="40">
        <v>25.0</v>
      </c>
      <c r="E20" s="47">
        <v>36536.0</v>
      </c>
      <c r="F20" s="40" t="s">
        <v>221</v>
      </c>
      <c r="G20" s="40" t="s">
        <v>222</v>
      </c>
      <c r="H20" s="40">
        <v>9.4</v>
      </c>
      <c r="I20" s="40">
        <v>51500.0</v>
      </c>
      <c r="J20" s="40" t="s">
        <v>31</v>
      </c>
      <c r="K20" s="40">
        <v>14.0</v>
      </c>
      <c r="L20" s="40"/>
      <c r="M20" s="40">
        <v>29500.0</v>
      </c>
    </row>
    <row r="21">
      <c r="A21" s="40" t="s">
        <v>71</v>
      </c>
      <c r="B21" s="40" t="s">
        <v>228</v>
      </c>
      <c r="C21" s="40" t="s">
        <v>229</v>
      </c>
      <c r="D21" s="40">
        <v>23.0</v>
      </c>
      <c r="E21" s="40">
        <v>37627.0</v>
      </c>
      <c r="F21" s="40" t="s">
        <v>193</v>
      </c>
      <c r="G21" s="40" t="s">
        <v>230</v>
      </c>
      <c r="H21" s="40"/>
      <c r="I21" s="40">
        <v>69000.0</v>
      </c>
      <c r="J21" s="40" t="s">
        <v>31</v>
      </c>
      <c r="K21" s="40">
        <v>20.0</v>
      </c>
      <c r="L21" s="40"/>
      <c r="M21" s="40">
        <v>69000.0</v>
      </c>
    </row>
    <row r="22">
      <c r="A22" s="40" t="s">
        <v>76</v>
      </c>
      <c r="B22" s="40" t="s">
        <v>232</v>
      </c>
      <c r="C22" s="40" t="s">
        <v>233</v>
      </c>
      <c r="D22" s="40">
        <v>53.0</v>
      </c>
      <c r="E22" s="40" t="s">
        <v>235</v>
      </c>
      <c r="F22" s="40" t="s">
        <v>234</v>
      </c>
      <c r="G22" s="40" t="s">
        <v>236</v>
      </c>
      <c r="H22" s="40">
        <v>16.5</v>
      </c>
      <c r="I22" s="40" t="s">
        <v>237</v>
      </c>
      <c r="J22" s="40" t="s">
        <v>31</v>
      </c>
      <c r="K22" s="40">
        <v>14.0</v>
      </c>
      <c r="L22" s="40"/>
      <c r="M22" s="40">
        <v>36000.0</v>
      </c>
    </row>
    <row r="23">
      <c r="A23" s="40" t="s">
        <v>71</v>
      </c>
      <c r="B23" s="40" t="s">
        <v>238</v>
      </c>
      <c r="C23" s="40" t="s">
        <v>239</v>
      </c>
      <c r="D23" s="40"/>
      <c r="E23" s="40">
        <v>21378.0</v>
      </c>
      <c r="F23" s="40" t="s">
        <v>115</v>
      </c>
      <c r="G23" s="40"/>
      <c r="H23" s="40">
        <v>14300.0</v>
      </c>
      <c r="I23" s="40">
        <v>32500.0</v>
      </c>
      <c r="J23" s="40" t="s">
        <v>32</v>
      </c>
      <c r="K23" s="40">
        <v>15.0</v>
      </c>
      <c r="L23" s="40"/>
      <c r="M23" s="40">
        <v>8000.0</v>
      </c>
    </row>
    <row r="24">
      <c r="A24" s="40" t="s">
        <v>76</v>
      </c>
      <c r="B24" s="40" t="s">
        <v>240</v>
      </c>
      <c r="C24" s="40" t="s">
        <v>241</v>
      </c>
      <c r="D24" s="40">
        <v>33.0</v>
      </c>
      <c r="E24" s="40" t="s">
        <v>242</v>
      </c>
      <c r="F24" s="40" t="s">
        <v>115</v>
      </c>
      <c r="G24" s="40" t="s">
        <v>117</v>
      </c>
      <c r="H24" s="40">
        <v>23600.0</v>
      </c>
      <c r="I24" s="40">
        <v>75.5</v>
      </c>
      <c r="J24" s="40" t="s">
        <v>31</v>
      </c>
      <c r="K24" s="40">
        <v>16.0</v>
      </c>
      <c r="L24" s="40"/>
      <c r="M24" s="40">
        <v>88000.0</v>
      </c>
    </row>
    <row r="25">
      <c r="A25" s="40" t="s">
        <v>71</v>
      </c>
      <c r="B25" s="40" t="s">
        <v>244</v>
      </c>
      <c r="C25" s="40" t="s">
        <v>245</v>
      </c>
      <c r="D25" s="40">
        <v>68.0</v>
      </c>
      <c r="E25" s="40">
        <v>21145.0</v>
      </c>
      <c r="F25" s="40" t="s">
        <v>246</v>
      </c>
      <c r="G25" s="40" t="s">
        <v>205</v>
      </c>
      <c r="H25" s="40">
        <v>29000.0</v>
      </c>
      <c r="I25" s="40">
        <v>67500.0</v>
      </c>
      <c r="J25" s="40" t="s">
        <v>31</v>
      </c>
      <c r="K25" s="40">
        <v>25.0</v>
      </c>
      <c r="L25" s="40"/>
      <c r="M25" s="40">
        <v>18000.0</v>
      </c>
    </row>
    <row r="26">
      <c r="A26" s="40" t="s">
        <v>76</v>
      </c>
      <c r="B26" s="40" t="s">
        <v>247</v>
      </c>
      <c r="C26" s="40" t="s">
        <v>248</v>
      </c>
      <c r="D26" s="40">
        <v>62.0</v>
      </c>
      <c r="E26" s="47">
        <v>23140.0</v>
      </c>
      <c r="F26" s="40" t="s">
        <v>82</v>
      </c>
      <c r="G26" s="40" t="s">
        <v>249</v>
      </c>
      <c r="H26" s="40"/>
      <c r="I26" s="40">
        <v>0.0</v>
      </c>
      <c r="J26" s="40" t="s">
        <v>32</v>
      </c>
      <c r="K26" s="40" t="s">
        <v>250</v>
      </c>
      <c r="L26" s="40"/>
      <c r="M26" s="40">
        <v>12000.0</v>
      </c>
    </row>
    <row r="27">
      <c r="A27" s="40" t="s">
        <v>71</v>
      </c>
      <c r="B27" s="40" t="s">
        <v>251</v>
      </c>
      <c r="C27" s="40" t="s">
        <v>252</v>
      </c>
      <c r="D27" s="40">
        <v>58.0</v>
      </c>
      <c r="E27" s="40">
        <v>24911.0</v>
      </c>
      <c r="F27" s="40" t="s">
        <v>253</v>
      </c>
      <c r="G27" s="40" t="s">
        <v>195</v>
      </c>
      <c r="H27" s="40" t="s">
        <v>254</v>
      </c>
      <c r="I27" s="40">
        <v>70500.0</v>
      </c>
      <c r="J27" s="40" t="s">
        <v>32</v>
      </c>
      <c r="K27" s="40">
        <v>11.0</v>
      </c>
      <c r="L27" s="40"/>
      <c r="M27" s="40">
        <v>47000.0</v>
      </c>
    </row>
    <row r="28">
      <c r="A28" s="40" t="s">
        <v>71</v>
      </c>
      <c r="B28" s="40" t="s">
        <v>89</v>
      </c>
      <c r="C28" s="40">
        <v>34300.0</v>
      </c>
      <c r="D28" s="40">
        <v>48.0</v>
      </c>
      <c r="E28" s="51">
        <v>28408.0</v>
      </c>
      <c r="F28" s="40" t="s">
        <v>255</v>
      </c>
      <c r="G28" s="40"/>
      <c r="H28" s="40">
        <v>13.3</v>
      </c>
      <c r="I28" s="40">
        <v>42000.0</v>
      </c>
      <c r="J28" s="40" t="s">
        <v>32</v>
      </c>
      <c r="K28" s="40">
        <v>27.0</v>
      </c>
      <c r="L28" s="40"/>
      <c r="M28" s="40">
        <v>40000.0</v>
      </c>
    </row>
    <row r="29">
      <c r="A29" s="40" t="s">
        <v>71</v>
      </c>
      <c r="B29" s="40" t="s">
        <v>256</v>
      </c>
      <c r="C29" s="40" t="s">
        <v>257</v>
      </c>
      <c r="D29" s="40">
        <v>29.0</v>
      </c>
      <c r="E29" s="40">
        <v>35323.0</v>
      </c>
      <c r="F29" s="40" t="s">
        <v>258</v>
      </c>
      <c r="G29" s="40" t="s">
        <v>222</v>
      </c>
      <c r="H29" s="40">
        <v>21200.0</v>
      </c>
      <c r="I29" s="40">
        <v>75000.0</v>
      </c>
      <c r="J29" s="40" t="s">
        <v>31</v>
      </c>
      <c r="K29" s="40">
        <v>6.0</v>
      </c>
      <c r="L29" s="40"/>
      <c r="M29" s="40">
        <v>63500.0</v>
      </c>
    </row>
    <row r="30">
      <c r="A30" s="40" t="s">
        <v>259</v>
      </c>
      <c r="B30" s="40" t="s">
        <v>260</v>
      </c>
      <c r="C30" s="40" t="s">
        <v>261</v>
      </c>
      <c r="D30" s="40">
        <v>38.0</v>
      </c>
      <c r="E30" s="40">
        <v>32166.0</v>
      </c>
      <c r="F30" s="40" t="s">
        <v>203</v>
      </c>
      <c r="G30" s="40" t="s">
        <v>262</v>
      </c>
      <c r="H30" s="40" t="s">
        <v>194</v>
      </c>
      <c r="I30" s="40">
        <v>39000.0</v>
      </c>
      <c r="J30" s="40" t="s">
        <v>31</v>
      </c>
      <c r="K30" s="40">
        <v>25.0</v>
      </c>
      <c r="L30" s="40"/>
      <c r="M30" s="40">
        <v>88500.0</v>
      </c>
    </row>
    <row r="31">
      <c r="A31" s="40" t="s">
        <v>76</v>
      </c>
      <c r="B31" s="40" t="s">
        <v>263</v>
      </c>
      <c r="C31" s="40" t="s">
        <v>264</v>
      </c>
      <c r="D31" s="40">
        <v>68.0</v>
      </c>
      <c r="E31" s="40">
        <v>21293.0</v>
      </c>
      <c r="F31" s="40" t="s">
        <v>100</v>
      </c>
      <c r="G31" s="40" t="s">
        <v>210</v>
      </c>
      <c r="H31" s="40">
        <v>3800.0</v>
      </c>
      <c r="I31" s="40">
        <v>70000.0</v>
      </c>
      <c r="J31" s="40" t="s">
        <v>32</v>
      </c>
      <c r="K31" s="40">
        <v>34.0</v>
      </c>
      <c r="L31" s="40"/>
      <c r="M31" s="40">
        <v>7500.0</v>
      </c>
    </row>
    <row r="32">
      <c r="A32" s="40" t="s">
        <v>71</v>
      </c>
      <c r="B32" s="40" t="s">
        <v>265</v>
      </c>
      <c r="C32" s="40" t="s">
        <v>266</v>
      </c>
      <c r="D32" s="40">
        <v>19.0</v>
      </c>
      <c r="E32" s="40" t="s">
        <v>267</v>
      </c>
      <c r="F32" s="40" t="s">
        <v>221</v>
      </c>
      <c r="G32" s="40" t="s">
        <v>222</v>
      </c>
      <c r="H32" s="40">
        <v>18000.0</v>
      </c>
      <c r="I32" s="40">
        <v>50500.0</v>
      </c>
      <c r="J32" s="40" t="s">
        <v>268</v>
      </c>
      <c r="K32" s="40">
        <v>11.0</v>
      </c>
      <c r="L32" s="40"/>
      <c r="M32" s="40">
        <v>26000.0</v>
      </c>
    </row>
    <row r="33">
      <c r="A33" s="40" t="s">
        <v>71</v>
      </c>
      <c r="B33" s="40" t="s">
        <v>269</v>
      </c>
      <c r="C33" s="40">
        <v>15400.0</v>
      </c>
      <c r="D33" s="40">
        <v>42.0</v>
      </c>
      <c r="E33" s="40">
        <v>30642.0</v>
      </c>
      <c r="F33" s="40" t="s">
        <v>270</v>
      </c>
      <c r="G33" s="40" t="s">
        <v>270</v>
      </c>
      <c r="H33" s="40" t="s">
        <v>271</v>
      </c>
      <c r="I33" s="40">
        <v>19500.0</v>
      </c>
      <c r="J33" s="40" t="s">
        <v>31</v>
      </c>
      <c r="K33" s="40">
        <v>42.0</v>
      </c>
      <c r="L33" s="40"/>
      <c r="M33" s="40">
        <v>89500.0</v>
      </c>
    </row>
    <row r="34">
      <c r="A34" s="40" t="s">
        <v>71</v>
      </c>
      <c r="B34" s="40" t="s">
        <v>272</v>
      </c>
      <c r="C34" s="40" t="s">
        <v>273</v>
      </c>
      <c r="D34" s="40">
        <v>27.0</v>
      </c>
      <c r="E34" s="40">
        <v>36319.0</v>
      </c>
      <c r="F34" s="40" t="s">
        <v>78</v>
      </c>
      <c r="G34" s="40" t="s">
        <v>274</v>
      </c>
      <c r="H34" s="40">
        <v>28800.0</v>
      </c>
      <c r="I34" s="40">
        <v>78.5</v>
      </c>
      <c r="J34" s="40" t="s">
        <v>31</v>
      </c>
      <c r="K34" s="40">
        <v>2.0</v>
      </c>
      <c r="L34" s="40"/>
      <c r="M34" s="40">
        <v>53000.0</v>
      </c>
    </row>
    <row r="35">
      <c r="A35" s="40" t="s">
        <v>71</v>
      </c>
      <c r="B35" s="40" t="s">
        <v>275</v>
      </c>
      <c r="C35" s="40" t="s">
        <v>276</v>
      </c>
      <c r="D35" s="40">
        <v>42.0</v>
      </c>
      <c r="E35" s="40">
        <v>30878.0</v>
      </c>
      <c r="F35" s="40" t="s">
        <v>100</v>
      </c>
      <c r="G35" s="40" t="s">
        <v>210</v>
      </c>
      <c r="H35" s="40">
        <v>17500.0</v>
      </c>
      <c r="I35" s="40">
        <v>3500.0</v>
      </c>
      <c r="J35" s="40" t="s">
        <v>277</v>
      </c>
      <c r="K35" s="40">
        <v>25.0</v>
      </c>
      <c r="L35" s="40"/>
      <c r="M35" s="40">
        <v>35000.0</v>
      </c>
    </row>
    <row r="36">
      <c r="A36" s="40" t="s">
        <v>71</v>
      </c>
      <c r="B36" s="40" t="s">
        <v>278</v>
      </c>
      <c r="C36" s="40" t="s">
        <v>279</v>
      </c>
      <c r="D36" s="40">
        <v>44.0</v>
      </c>
      <c r="E36" s="40">
        <v>29975.0</v>
      </c>
      <c r="F36" s="40" t="s">
        <v>93</v>
      </c>
      <c r="G36" s="40" t="s">
        <v>280</v>
      </c>
      <c r="H36" s="40">
        <v>5300.0</v>
      </c>
      <c r="I36" s="40">
        <v>6000.0</v>
      </c>
      <c r="J36" s="40" t="s">
        <v>32</v>
      </c>
      <c r="K36" s="40">
        <v>1.0</v>
      </c>
      <c r="L36" s="40"/>
      <c r="M36" s="40">
        <v>4500.0</v>
      </c>
    </row>
    <row r="37">
      <c r="A37" s="40" t="s">
        <v>71</v>
      </c>
      <c r="B37" s="40" t="s">
        <v>281</v>
      </c>
      <c r="C37" s="40" t="s">
        <v>282</v>
      </c>
      <c r="D37" s="40">
        <v>40.0</v>
      </c>
      <c r="E37" s="47">
        <v>31598.0</v>
      </c>
      <c r="F37" s="40" t="s">
        <v>246</v>
      </c>
      <c r="G37" s="40" t="s">
        <v>205</v>
      </c>
      <c r="H37" s="40">
        <v>9900.0</v>
      </c>
      <c r="I37" s="40">
        <v>3500.0</v>
      </c>
      <c r="J37" s="40" t="s">
        <v>31</v>
      </c>
      <c r="K37" s="40">
        <v>1.0</v>
      </c>
      <c r="L37" s="40"/>
      <c r="M37" s="40">
        <v>23500.0</v>
      </c>
    </row>
    <row r="38">
      <c r="A38" s="40" t="s">
        <v>71</v>
      </c>
      <c r="B38" s="40" t="s">
        <v>283</v>
      </c>
      <c r="C38" s="40" t="s">
        <v>284</v>
      </c>
      <c r="D38" s="40">
        <v>65.0</v>
      </c>
      <c r="E38" s="40" t="s">
        <v>286</v>
      </c>
      <c r="F38" s="40" t="s">
        <v>100</v>
      </c>
      <c r="G38" s="40" t="s">
        <v>88</v>
      </c>
      <c r="H38" s="40" t="s">
        <v>287</v>
      </c>
      <c r="I38" s="40">
        <v>28000.0</v>
      </c>
      <c r="J38" s="40" t="s">
        <v>31</v>
      </c>
      <c r="K38" s="40">
        <v>34.0</v>
      </c>
      <c r="L38" s="40"/>
      <c r="M38" s="40">
        <v>74000.0</v>
      </c>
    </row>
    <row r="39">
      <c r="A39" s="40"/>
      <c r="B39" s="40" t="s">
        <v>288</v>
      </c>
      <c r="C39" s="40" t="s">
        <v>289</v>
      </c>
      <c r="D39" s="40">
        <v>63.0</v>
      </c>
      <c r="E39" s="40">
        <v>22974.0</v>
      </c>
      <c r="F39" s="40" t="s">
        <v>270</v>
      </c>
      <c r="G39" s="40" t="s">
        <v>290</v>
      </c>
      <c r="H39" s="40" t="s">
        <v>291</v>
      </c>
      <c r="I39" s="40">
        <v>0.0</v>
      </c>
      <c r="J39" s="40" t="s">
        <v>268</v>
      </c>
      <c r="K39" s="40">
        <v>40.0</v>
      </c>
      <c r="L39" s="40"/>
      <c r="M39" s="40">
        <v>83500.0</v>
      </c>
    </row>
    <row r="40">
      <c r="A40" s="40" t="s">
        <v>71</v>
      </c>
      <c r="B40" s="40" t="s">
        <v>292</v>
      </c>
      <c r="C40" s="40" t="s">
        <v>293</v>
      </c>
      <c r="D40" s="40">
        <v>22.0</v>
      </c>
      <c r="E40" s="40"/>
      <c r="F40" s="40" t="s">
        <v>115</v>
      </c>
      <c r="G40" s="40" t="s">
        <v>117</v>
      </c>
      <c r="H40" s="40">
        <v>14400.0</v>
      </c>
      <c r="I40" s="40">
        <v>0.0</v>
      </c>
      <c r="J40" s="40" t="s">
        <v>31</v>
      </c>
      <c r="K40" s="40" t="s">
        <v>294</v>
      </c>
      <c r="L40" s="40"/>
      <c r="M40" s="40">
        <v>33500.0</v>
      </c>
    </row>
    <row r="41">
      <c r="A41" s="40" t="s">
        <v>131</v>
      </c>
      <c r="B41" s="40" t="s">
        <v>295</v>
      </c>
      <c r="C41" s="40" t="s">
        <v>296</v>
      </c>
      <c r="D41" s="40">
        <v>39.0</v>
      </c>
      <c r="E41" s="40">
        <v>31879.0</v>
      </c>
      <c r="F41" s="40" t="s">
        <v>221</v>
      </c>
      <c r="G41" s="40" t="s">
        <v>222</v>
      </c>
      <c r="H41" s="40" t="s">
        <v>297</v>
      </c>
      <c r="I41" s="40">
        <v>0.0</v>
      </c>
      <c r="J41" s="40" t="s">
        <v>31</v>
      </c>
      <c r="K41" s="40">
        <v>39.0</v>
      </c>
      <c r="L41" s="40"/>
      <c r="M41" s="40">
        <v>75000.0</v>
      </c>
    </row>
    <row r="42">
      <c r="A42" s="40" t="s">
        <v>71</v>
      </c>
      <c r="B42" s="40" t="s">
        <v>298</v>
      </c>
      <c r="C42" s="40" t="s">
        <v>299</v>
      </c>
      <c r="D42" s="40">
        <v>63.0</v>
      </c>
      <c r="E42" s="40">
        <v>23231.0</v>
      </c>
      <c r="F42" s="40" t="s">
        <v>255</v>
      </c>
      <c r="G42" s="40" t="s">
        <v>205</v>
      </c>
      <c r="H42" s="40">
        <v>16800.0</v>
      </c>
      <c r="I42" s="40">
        <v>0.0</v>
      </c>
      <c r="J42" s="40"/>
      <c r="K42" s="40">
        <v>32.0</v>
      </c>
      <c r="L42" s="40"/>
      <c r="M42" s="40">
        <v>61500.0</v>
      </c>
    </row>
    <row r="43">
      <c r="A43" s="40" t="s">
        <v>71</v>
      </c>
      <c r="B43" s="40" t="s">
        <v>300</v>
      </c>
      <c r="C43" s="40" t="s">
        <v>301</v>
      </c>
      <c r="D43" s="40">
        <v>54.0</v>
      </c>
      <c r="E43" s="47">
        <v>26124.0</v>
      </c>
      <c r="F43" s="40" t="s">
        <v>221</v>
      </c>
      <c r="G43" s="40" t="s">
        <v>302</v>
      </c>
      <c r="H43" s="40">
        <v>29700.0</v>
      </c>
      <c r="I43" s="40">
        <v>34000.0</v>
      </c>
      <c r="J43" s="40" t="s">
        <v>31</v>
      </c>
      <c r="K43" s="40">
        <v>35.0</v>
      </c>
      <c r="L43" s="40"/>
      <c r="M43" s="40">
        <v>35000.0</v>
      </c>
    </row>
    <row r="44">
      <c r="A44" s="40" t="s">
        <v>71</v>
      </c>
      <c r="B44" s="40" t="s">
        <v>95</v>
      </c>
      <c r="C44" s="40" t="s">
        <v>303</v>
      </c>
      <c r="D44" s="40">
        <v>29.0</v>
      </c>
      <c r="E44" s="40">
        <v>35472.0</v>
      </c>
      <c r="F44" s="40" t="s">
        <v>304</v>
      </c>
      <c r="G44" s="40"/>
      <c r="H44" s="40">
        <v>11900.0</v>
      </c>
      <c r="I44" s="40">
        <v>65000.0</v>
      </c>
      <c r="J44" s="40" t="s">
        <v>32</v>
      </c>
      <c r="K44" s="40">
        <v>29.0</v>
      </c>
      <c r="L44" s="40"/>
      <c r="M44" s="40">
        <v>12000.0</v>
      </c>
    </row>
    <row r="45">
      <c r="A45" s="40" t="s">
        <v>71</v>
      </c>
      <c r="B45" s="40" t="s">
        <v>305</v>
      </c>
      <c r="C45" s="40">
        <v>16500.0</v>
      </c>
      <c r="D45" s="40">
        <v>37.0</v>
      </c>
      <c r="E45" s="40">
        <v>32513.0</v>
      </c>
      <c r="F45" s="40" t="s">
        <v>306</v>
      </c>
      <c r="G45" s="40" t="s">
        <v>307</v>
      </c>
      <c r="H45" s="40" t="s">
        <v>308</v>
      </c>
      <c r="I45" s="40" t="s">
        <v>109</v>
      </c>
      <c r="J45" s="40" t="s">
        <v>31</v>
      </c>
      <c r="K45" s="40">
        <v>5.0</v>
      </c>
      <c r="L45" s="40"/>
      <c r="M45" s="40">
        <v>16500.0</v>
      </c>
    </row>
    <row r="46">
      <c r="A46" s="40" t="s">
        <v>71</v>
      </c>
      <c r="B46" s="40" t="s">
        <v>309</v>
      </c>
      <c r="C46" s="40">
        <v>15100.0</v>
      </c>
      <c r="D46" s="40">
        <v>25.0</v>
      </c>
      <c r="E46" s="40" t="s">
        <v>310</v>
      </c>
      <c r="F46" s="40" t="s">
        <v>270</v>
      </c>
      <c r="G46" s="40" t="s">
        <v>270</v>
      </c>
      <c r="H46" s="40">
        <v>2500.0</v>
      </c>
      <c r="I46" s="40">
        <v>72500.0</v>
      </c>
      <c r="J46" s="40" t="s">
        <v>31</v>
      </c>
      <c r="K46" s="40">
        <v>32.0</v>
      </c>
      <c r="L46" s="40"/>
      <c r="M46" s="40">
        <v>97000.0</v>
      </c>
    </row>
    <row r="47">
      <c r="A47" s="40" t="s">
        <v>71</v>
      </c>
      <c r="B47" s="40" t="s">
        <v>311</v>
      </c>
      <c r="C47" s="40" t="s">
        <v>312</v>
      </c>
      <c r="D47" s="40">
        <v>21.0</v>
      </c>
      <c r="E47" s="40">
        <v>38323.0</v>
      </c>
      <c r="F47" s="40" t="s">
        <v>193</v>
      </c>
      <c r="G47" s="40" t="s">
        <v>195</v>
      </c>
      <c r="H47" s="40" t="s">
        <v>313</v>
      </c>
      <c r="I47" s="40">
        <v>0.0</v>
      </c>
      <c r="J47" s="40" t="s">
        <v>31</v>
      </c>
      <c r="K47" s="40">
        <v>25.0</v>
      </c>
      <c r="L47" s="40"/>
      <c r="M47" s="40">
        <v>50000.0</v>
      </c>
    </row>
    <row r="48">
      <c r="A48" s="40" t="s">
        <v>71</v>
      </c>
      <c r="B48" s="40" t="s">
        <v>314</v>
      </c>
      <c r="C48" s="40" t="s">
        <v>315</v>
      </c>
      <c r="D48" s="40">
        <v>28.0</v>
      </c>
      <c r="E48" s="47">
        <v>35830.0</v>
      </c>
      <c r="F48" s="40" t="s">
        <v>316</v>
      </c>
      <c r="G48" s="40" t="s">
        <v>107</v>
      </c>
      <c r="H48" s="40" t="s">
        <v>317</v>
      </c>
      <c r="I48" s="40">
        <v>51000.0</v>
      </c>
      <c r="J48" s="40" t="s">
        <v>277</v>
      </c>
      <c r="K48" s="40">
        <v>12.0</v>
      </c>
      <c r="L48" s="40"/>
      <c r="M48" s="40">
        <v>72500.0</v>
      </c>
    </row>
    <row r="49">
      <c r="A49" s="40" t="s">
        <v>71</v>
      </c>
      <c r="B49" s="40" t="s">
        <v>318</v>
      </c>
      <c r="C49" s="40">
        <v>10800.0</v>
      </c>
      <c r="D49" s="40">
        <v>39.0</v>
      </c>
      <c r="E49" s="40" t="s">
        <v>319</v>
      </c>
      <c r="F49" s="40" t="s">
        <v>221</v>
      </c>
      <c r="G49" s="40" t="s">
        <v>307</v>
      </c>
      <c r="H49" s="40">
        <v>24700.0</v>
      </c>
      <c r="I49" s="40" t="s">
        <v>320</v>
      </c>
      <c r="J49" s="40" t="s">
        <v>31</v>
      </c>
      <c r="K49" s="40">
        <v>43.0</v>
      </c>
      <c r="L49" s="40"/>
      <c r="M49" s="40">
        <v>57000.0</v>
      </c>
    </row>
    <row r="50">
      <c r="A50" s="40" t="s">
        <v>71</v>
      </c>
      <c r="B50" s="40" t="s">
        <v>321</v>
      </c>
      <c r="C50" s="40">
        <v>15000.0</v>
      </c>
      <c r="D50" s="40">
        <v>73.0</v>
      </c>
      <c r="E50" s="40">
        <v>19588.0</v>
      </c>
      <c r="F50" s="40" t="s">
        <v>246</v>
      </c>
      <c r="G50" s="40" t="s">
        <v>205</v>
      </c>
      <c r="H50" s="40">
        <v>28.6</v>
      </c>
      <c r="I50" s="40">
        <v>40500.0</v>
      </c>
      <c r="J50" s="40" t="s">
        <v>31</v>
      </c>
      <c r="K50" s="40">
        <v>20.0</v>
      </c>
      <c r="L50" s="40"/>
      <c r="M50" s="40">
        <v>2500.0</v>
      </c>
    </row>
    <row r="51">
      <c r="A51" s="40" t="s">
        <v>71</v>
      </c>
      <c r="B51" s="40" t="s">
        <v>322</v>
      </c>
      <c r="C51" s="40" t="s">
        <v>323</v>
      </c>
      <c r="D51" s="40">
        <v>42.0</v>
      </c>
      <c r="E51" s="51">
        <v>30662.0</v>
      </c>
      <c r="F51" s="40" t="s">
        <v>203</v>
      </c>
      <c r="G51" s="40" t="s">
        <v>236</v>
      </c>
      <c r="H51" s="40">
        <v>20400.0</v>
      </c>
      <c r="I51" s="40">
        <v>0.0</v>
      </c>
      <c r="J51" s="40" t="s">
        <v>277</v>
      </c>
      <c r="K51" s="40">
        <v>0.0</v>
      </c>
      <c r="L51" s="40"/>
      <c r="M51" s="40">
        <v>81000.0</v>
      </c>
    </row>
    <row r="52">
      <c r="A52" s="40" t="s">
        <v>71</v>
      </c>
      <c r="B52" s="40" t="s">
        <v>324</v>
      </c>
      <c r="C52" s="40" t="s">
        <v>325</v>
      </c>
      <c r="D52" s="40">
        <v>48.0</v>
      </c>
      <c r="E52" s="47">
        <v>28136.0</v>
      </c>
      <c r="F52" s="40" t="s">
        <v>100</v>
      </c>
      <c r="G52" s="40" t="s">
        <v>88</v>
      </c>
      <c r="H52" s="40" t="s">
        <v>326</v>
      </c>
      <c r="I52" s="40">
        <v>0.0</v>
      </c>
      <c r="J52" s="40" t="s">
        <v>31</v>
      </c>
      <c r="K52" s="40">
        <v>3.0</v>
      </c>
      <c r="L52" s="40"/>
      <c r="M52" s="40">
        <v>48500.0</v>
      </c>
    </row>
    <row r="53">
      <c r="A53" s="40" t="s">
        <v>76</v>
      </c>
      <c r="B53" s="40" t="s">
        <v>85</v>
      </c>
      <c r="C53" s="40" t="s">
        <v>327</v>
      </c>
      <c r="D53" s="40">
        <v>39.0</v>
      </c>
      <c r="E53" s="47">
        <v>31634.0</v>
      </c>
      <c r="F53" s="40" t="s">
        <v>93</v>
      </c>
      <c r="G53" s="40" t="s">
        <v>94</v>
      </c>
      <c r="H53" s="40">
        <v>22200.0</v>
      </c>
      <c r="I53" s="40">
        <v>0.0</v>
      </c>
      <c r="J53" s="40" t="s">
        <v>32</v>
      </c>
      <c r="K53" s="40">
        <v>3.0</v>
      </c>
      <c r="L53" s="40"/>
      <c r="M53" s="40">
        <v>7000.0</v>
      </c>
    </row>
    <row r="54">
      <c r="A54" s="40" t="s">
        <v>71</v>
      </c>
      <c r="B54" s="40" t="s">
        <v>329</v>
      </c>
      <c r="C54" s="40" t="s">
        <v>330</v>
      </c>
      <c r="D54" s="40">
        <v>56.0</v>
      </c>
      <c r="E54" s="40" t="s">
        <v>331</v>
      </c>
      <c r="F54" s="40" t="s">
        <v>270</v>
      </c>
      <c r="G54" s="40" t="s">
        <v>270</v>
      </c>
      <c r="H54" s="40" t="s">
        <v>332</v>
      </c>
      <c r="I54" s="40">
        <v>63000.0</v>
      </c>
      <c r="J54" s="40" t="s">
        <v>31</v>
      </c>
      <c r="K54" s="40">
        <v>0.0</v>
      </c>
      <c r="L54" s="40"/>
      <c r="M54" s="40">
        <v>56000.0</v>
      </c>
    </row>
    <row r="55">
      <c r="A55" s="40" t="s">
        <v>71</v>
      </c>
      <c r="B55" s="40" t="s">
        <v>333</v>
      </c>
      <c r="C55" s="40">
        <v>14200.0</v>
      </c>
      <c r="D55" s="40">
        <v>48.0</v>
      </c>
      <c r="E55" s="47">
        <v>28770.0</v>
      </c>
      <c r="F55" s="40" t="s">
        <v>334</v>
      </c>
      <c r="G55" s="40"/>
      <c r="H55" s="40">
        <v>15800.0</v>
      </c>
      <c r="I55" s="40" t="s">
        <v>109</v>
      </c>
      <c r="J55" s="40" t="s">
        <v>31</v>
      </c>
      <c r="K55" s="40">
        <v>12.0</v>
      </c>
      <c r="L55" s="40"/>
      <c r="M55" s="40">
        <v>69500.0</v>
      </c>
    </row>
    <row r="56">
      <c r="A56" s="40" t="s">
        <v>71</v>
      </c>
      <c r="B56" s="40" t="s">
        <v>335</v>
      </c>
      <c r="C56" s="40" t="s">
        <v>336</v>
      </c>
      <c r="D56" s="40">
        <v>70.0</v>
      </c>
      <c r="E56" s="40" t="s">
        <v>337</v>
      </c>
      <c r="F56" s="40" t="s">
        <v>136</v>
      </c>
      <c r="G56" s="40" t="s">
        <v>117</v>
      </c>
      <c r="H56" s="40">
        <v>16300.0</v>
      </c>
      <c r="I56" s="40">
        <v>16500.0</v>
      </c>
      <c r="J56" s="40" t="s">
        <v>31</v>
      </c>
      <c r="K56" s="40">
        <v>25.0</v>
      </c>
      <c r="L56" s="40"/>
      <c r="M56" s="40">
        <v>65500.0</v>
      </c>
    </row>
    <row r="57">
      <c r="A57" s="40" t="s">
        <v>131</v>
      </c>
      <c r="B57" s="40" t="s">
        <v>338</v>
      </c>
      <c r="C57" s="40" t="s">
        <v>339</v>
      </c>
      <c r="D57" s="40">
        <v>24.0</v>
      </c>
      <c r="E57" s="40">
        <v>37435.0</v>
      </c>
      <c r="F57" s="40" t="s">
        <v>342</v>
      </c>
      <c r="G57" s="40" t="s">
        <v>343</v>
      </c>
      <c r="H57" s="40">
        <v>6100.0</v>
      </c>
      <c r="I57" s="40"/>
      <c r="J57" s="40" t="s">
        <v>344</v>
      </c>
      <c r="K57" s="40">
        <v>15.0</v>
      </c>
      <c r="L57" s="40"/>
      <c r="M57" s="40">
        <v>67000.0</v>
      </c>
    </row>
    <row r="58">
      <c r="A58" s="40" t="s">
        <v>71</v>
      </c>
      <c r="B58" s="40" t="s">
        <v>345</v>
      </c>
      <c r="C58" s="40" t="s">
        <v>346</v>
      </c>
      <c r="D58" s="40">
        <v>47.0</v>
      </c>
      <c r="E58" s="40">
        <v>28802.0</v>
      </c>
      <c r="F58" s="40" t="s">
        <v>342</v>
      </c>
      <c r="G58" s="40" t="s">
        <v>348</v>
      </c>
      <c r="H58" s="40">
        <v>22700.0</v>
      </c>
      <c r="I58" s="40">
        <v>8500.0</v>
      </c>
      <c r="J58" s="40"/>
      <c r="K58" s="40">
        <v>35.0</v>
      </c>
      <c r="L58" s="40"/>
      <c r="M58" s="40">
        <v>23500.0</v>
      </c>
    </row>
    <row r="59">
      <c r="A59" s="40" t="s">
        <v>71</v>
      </c>
      <c r="B59" s="40" t="s">
        <v>349</v>
      </c>
      <c r="C59" s="40" t="s">
        <v>350</v>
      </c>
      <c r="D59" s="40">
        <v>33.0</v>
      </c>
      <c r="E59" s="47">
        <v>33704.0</v>
      </c>
      <c r="F59" s="40" t="s">
        <v>203</v>
      </c>
      <c r="G59" s="40" t="s">
        <v>236</v>
      </c>
      <c r="H59" s="40">
        <v>29.7</v>
      </c>
      <c r="I59" s="40">
        <v>22000.0</v>
      </c>
      <c r="J59" s="40" t="s">
        <v>31</v>
      </c>
      <c r="K59" s="40" t="s">
        <v>351</v>
      </c>
      <c r="L59" s="40"/>
      <c r="M59" s="40">
        <v>81000.0</v>
      </c>
    </row>
    <row r="60">
      <c r="A60" s="40" t="s">
        <v>76</v>
      </c>
      <c r="B60" s="40" t="s">
        <v>352</v>
      </c>
      <c r="C60" s="40" t="s">
        <v>353</v>
      </c>
      <c r="D60" s="40">
        <v>38.0</v>
      </c>
      <c r="E60" s="40" t="s">
        <v>354</v>
      </c>
      <c r="F60" s="40" t="s">
        <v>100</v>
      </c>
      <c r="G60" s="40" t="s">
        <v>168</v>
      </c>
      <c r="H60" s="40">
        <v>13500.0</v>
      </c>
      <c r="I60" s="40">
        <v>24000.0</v>
      </c>
      <c r="J60" s="40" t="s">
        <v>31</v>
      </c>
      <c r="K60" s="40">
        <v>2.0</v>
      </c>
      <c r="L60" s="40"/>
      <c r="M60" s="40">
        <v>17500.0</v>
      </c>
    </row>
    <row r="61">
      <c r="A61" s="40" t="s">
        <v>76</v>
      </c>
      <c r="B61" s="40" t="s">
        <v>355</v>
      </c>
      <c r="C61" s="40">
        <v>3400.0</v>
      </c>
      <c r="D61" s="40">
        <v>35.0</v>
      </c>
      <c r="E61" s="40" t="s">
        <v>356</v>
      </c>
      <c r="F61" s="40" t="s">
        <v>255</v>
      </c>
      <c r="G61" s="40" t="s">
        <v>262</v>
      </c>
      <c r="H61" s="40">
        <v>17600.0</v>
      </c>
      <c r="I61" s="40">
        <v>44000.0</v>
      </c>
      <c r="J61" s="40" t="s">
        <v>344</v>
      </c>
      <c r="K61" s="40">
        <v>22.0</v>
      </c>
      <c r="L61" s="40"/>
      <c r="M61" s="40">
        <v>56500.0</v>
      </c>
    </row>
    <row r="62">
      <c r="A62" s="40" t="s">
        <v>76</v>
      </c>
      <c r="B62" s="40" t="s">
        <v>357</v>
      </c>
      <c r="C62" s="40" t="s">
        <v>358</v>
      </c>
      <c r="D62" s="40">
        <v>67.0</v>
      </c>
      <c r="E62" s="40">
        <v>21512.0</v>
      </c>
      <c r="F62" s="40" t="s">
        <v>136</v>
      </c>
      <c r="G62" s="40" t="s">
        <v>359</v>
      </c>
      <c r="H62" s="40" t="s">
        <v>360</v>
      </c>
      <c r="I62" s="40">
        <v>6500.0</v>
      </c>
      <c r="J62" s="40" t="s">
        <v>31</v>
      </c>
      <c r="K62" s="40">
        <v>20.0</v>
      </c>
      <c r="L62" s="40"/>
      <c r="M62" s="40">
        <v>52500.0</v>
      </c>
    </row>
    <row r="63">
      <c r="A63" s="40" t="s">
        <v>362</v>
      </c>
      <c r="B63" s="40" t="s">
        <v>363</v>
      </c>
      <c r="C63" s="40" t="s">
        <v>364</v>
      </c>
      <c r="D63" s="40">
        <v>51.0</v>
      </c>
      <c r="E63" s="40" t="s">
        <v>365</v>
      </c>
      <c r="F63" s="40" t="s">
        <v>100</v>
      </c>
      <c r="G63" s="40" t="s">
        <v>88</v>
      </c>
      <c r="H63" s="40">
        <v>16300.0</v>
      </c>
      <c r="I63" s="40"/>
      <c r="J63" s="40" t="s">
        <v>277</v>
      </c>
      <c r="K63" s="40">
        <v>8.0</v>
      </c>
      <c r="L63" s="40"/>
      <c r="M63" s="40">
        <v>33000.0</v>
      </c>
    </row>
    <row r="64">
      <c r="A64" s="40" t="s">
        <v>76</v>
      </c>
      <c r="B64" s="40" t="s">
        <v>366</v>
      </c>
      <c r="C64" s="40" t="s">
        <v>367</v>
      </c>
      <c r="D64" s="40" t="s">
        <v>368</v>
      </c>
      <c r="E64" s="40" t="s">
        <v>369</v>
      </c>
      <c r="F64" s="40" t="s">
        <v>246</v>
      </c>
      <c r="G64" s="40" t="s">
        <v>205</v>
      </c>
      <c r="H64" s="40">
        <v>15000.0</v>
      </c>
      <c r="I64" s="40">
        <v>32500.0</v>
      </c>
      <c r="J64" s="40" t="s">
        <v>31</v>
      </c>
      <c r="K64" s="40">
        <v>40.0</v>
      </c>
      <c r="L64" s="40"/>
      <c r="M64" s="40">
        <v>4500.0</v>
      </c>
    </row>
    <row r="65">
      <c r="A65" s="40" t="s">
        <v>71</v>
      </c>
      <c r="B65" s="40" t="s">
        <v>370</v>
      </c>
      <c r="C65" s="40">
        <v>23900.0</v>
      </c>
      <c r="D65" s="40">
        <v>39.0</v>
      </c>
      <c r="E65" s="40">
        <v>31740.0</v>
      </c>
      <c r="F65" s="40" t="s">
        <v>100</v>
      </c>
      <c r="G65" s="40" t="s">
        <v>371</v>
      </c>
      <c r="H65" s="40" t="s">
        <v>372</v>
      </c>
      <c r="I65" s="40" t="s">
        <v>109</v>
      </c>
      <c r="J65" s="40" t="s">
        <v>31</v>
      </c>
      <c r="K65" s="40" t="s">
        <v>351</v>
      </c>
      <c r="L65" s="40"/>
      <c r="M65" s="40">
        <v>36000.0</v>
      </c>
    </row>
    <row r="66">
      <c r="A66" s="40" t="s">
        <v>71</v>
      </c>
      <c r="B66" s="40" t="s">
        <v>373</v>
      </c>
      <c r="C66" s="40" t="s">
        <v>374</v>
      </c>
      <c r="D66" s="40">
        <v>24.0</v>
      </c>
      <c r="E66" s="40">
        <v>37172.0</v>
      </c>
      <c r="F66" s="40" t="s">
        <v>74</v>
      </c>
      <c r="G66" s="40" t="s">
        <v>75</v>
      </c>
      <c r="H66" s="40">
        <v>21600.0</v>
      </c>
      <c r="I66" s="40" t="s">
        <v>375</v>
      </c>
      <c r="J66" s="40" t="s">
        <v>31</v>
      </c>
      <c r="K66" s="40">
        <v>33.0</v>
      </c>
      <c r="L66" s="40"/>
      <c r="M66" s="40">
        <v>17500.0</v>
      </c>
    </row>
    <row r="67">
      <c r="A67" s="40" t="s">
        <v>71</v>
      </c>
      <c r="B67" s="40" t="s">
        <v>376</v>
      </c>
      <c r="C67" s="40">
        <v>16100.0</v>
      </c>
      <c r="D67" s="40">
        <v>57.0</v>
      </c>
      <c r="E67" s="40"/>
      <c r="F67" s="40" t="s">
        <v>93</v>
      </c>
      <c r="G67" s="40" t="s">
        <v>280</v>
      </c>
      <c r="H67" s="40" t="s">
        <v>271</v>
      </c>
      <c r="I67" s="40"/>
      <c r="J67" s="40" t="s">
        <v>32</v>
      </c>
      <c r="K67" s="40" t="s">
        <v>377</v>
      </c>
      <c r="L67" s="40"/>
      <c r="M67" s="40">
        <v>13000.0</v>
      </c>
    </row>
    <row r="68">
      <c r="A68" s="40" t="s">
        <v>71</v>
      </c>
      <c r="B68" s="40" t="s">
        <v>378</v>
      </c>
      <c r="C68" s="40">
        <v>6300.0</v>
      </c>
      <c r="D68" s="40">
        <v>68.0</v>
      </c>
      <c r="E68" s="40"/>
      <c r="F68" s="40" t="s">
        <v>82</v>
      </c>
      <c r="G68" s="40" t="s">
        <v>107</v>
      </c>
      <c r="H68" s="40">
        <v>19.9</v>
      </c>
      <c r="I68" s="40">
        <v>35000.0</v>
      </c>
      <c r="J68" s="40" t="s">
        <v>277</v>
      </c>
      <c r="K68" s="40">
        <v>25.0</v>
      </c>
      <c r="L68" s="40"/>
      <c r="M68" s="40">
        <v>59500.0</v>
      </c>
    </row>
    <row r="69">
      <c r="A69" s="40" t="s">
        <v>71</v>
      </c>
      <c r="B69" s="40" t="s">
        <v>380</v>
      </c>
      <c r="C69" s="40">
        <v>27200.0</v>
      </c>
      <c r="D69" s="40">
        <v>56.0</v>
      </c>
      <c r="E69" s="40" t="s">
        <v>381</v>
      </c>
      <c r="F69" s="40" t="s">
        <v>246</v>
      </c>
      <c r="G69" s="40" t="s">
        <v>205</v>
      </c>
      <c r="H69" s="40">
        <v>14100.0</v>
      </c>
      <c r="I69" s="40">
        <v>1500.0</v>
      </c>
      <c r="J69" s="40" t="s">
        <v>31</v>
      </c>
      <c r="K69" s="40">
        <v>26.0</v>
      </c>
      <c r="L69" s="40"/>
      <c r="M69" s="40">
        <v>36000.0</v>
      </c>
    </row>
    <row r="70">
      <c r="A70" s="40" t="s">
        <v>131</v>
      </c>
      <c r="B70" s="40" t="s">
        <v>382</v>
      </c>
      <c r="C70" s="40" t="s">
        <v>383</v>
      </c>
      <c r="D70" s="40">
        <v>33.0</v>
      </c>
      <c r="E70" s="40" t="s">
        <v>384</v>
      </c>
      <c r="F70" s="40" t="s">
        <v>136</v>
      </c>
      <c r="G70" s="40" t="s">
        <v>385</v>
      </c>
      <c r="H70" s="40">
        <v>3400.0</v>
      </c>
      <c r="I70" s="40">
        <v>0.0</v>
      </c>
      <c r="J70" s="40" t="s">
        <v>31</v>
      </c>
      <c r="K70" s="40">
        <v>13.0</v>
      </c>
      <c r="L70" s="40"/>
      <c r="M70" s="40">
        <v>70000.0</v>
      </c>
    </row>
    <row r="71">
      <c r="A71" s="40" t="s">
        <v>71</v>
      </c>
      <c r="B71" s="40" t="s">
        <v>387</v>
      </c>
      <c r="C71" s="40" t="s">
        <v>388</v>
      </c>
      <c r="D71" s="40">
        <v>41.0</v>
      </c>
      <c r="E71" s="40" t="s">
        <v>389</v>
      </c>
      <c r="F71" s="40" t="s">
        <v>78</v>
      </c>
      <c r="G71" s="40" t="s">
        <v>102</v>
      </c>
      <c r="H71" s="40" t="s">
        <v>390</v>
      </c>
      <c r="I71" s="40">
        <v>20.5</v>
      </c>
      <c r="J71" s="40" t="s">
        <v>32</v>
      </c>
      <c r="K71" s="40">
        <v>8.0</v>
      </c>
      <c r="L71" s="40"/>
      <c r="M71" s="40">
        <v>44000.0</v>
      </c>
    </row>
    <row r="72">
      <c r="A72" s="40" t="s">
        <v>71</v>
      </c>
      <c r="B72" s="40" t="s">
        <v>391</v>
      </c>
      <c r="C72" s="40" t="s">
        <v>392</v>
      </c>
      <c r="D72" s="40"/>
      <c r="E72" s="40" t="s">
        <v>393</v>
      </c>
      <c r="F72" s="40" t="s">
        <v>270</v>
      </c>
      <c r="G72" s="40" t="s">
        <v>270</v>
      </c>
      <c r="H72" s="40"/>
      <c r="I72" s="40">
        <v>0.0</v>
      </c>
      <c r="J72" s="40" t="s">
        <v>31</v>
      </c>
      <c r="K72" s="40">
        <v>20.0</v>
      </c>
      <c r="L72" s="40"/>
      <c r="M72" s="40">
        <v>42000.0</v>
      </c>
    </row>
    <row r="73">
      <c r="A73" s="40" t="s">
        <v>71</v>
      </c>
      <c r="B73" s="40" t="s">
        <v>394</v>
      </c>
      <c r="C73" s="40" t="s">
        <v>395</v>
      </c>
      <c r="D73" s="40">
        <v>34.0</v>
      </c>
      <c r="E73" s="40">
        <v>33525.0</v>
      </c>
      <c r="F73" s="40" t="s">
        <v>255</v>
      </c>
      <c r="G73" s="40"/>
      <c r="H73" s="40">
        <v>28000.0</v>
      </c>
      <c r="I73" s="40">
        <v>36500.0</v>
      </c>
      <c r="J73" s="40" t="s">
        <v>31</v>
      </c>
      <c r="K73" s="40">
        <v>33.0</v>
      </c>
      <c r="L73" s="40"/>
      <c r="M73" s="40">
        <v>60000.0</v>
      </c>
    </row>
    <row r="74">
      <c r="A74" s="40" t="s">
        <v>71</v>
      </c>
      <c r="B74" s="40" t="s">
        <v>396</v>
      </c>
      <c r="C74" s="40" t="s">
        <v>397</v>
      </c>
      <c r="D74" s="40">
        <v>24.0</v>
      </c>
      <c r="E74" s="40">
        <v>37259.0</v>
      </c>
      <c r="F74" s="40" t="s">
        <v>270</v>
      </c>
      <c r="G74" s="40" t="s">
        <v>270</v>
      </c>
      <c r="H74" s="40">
        <v>25200.0</v>
      </c>
      <c r="I74" s="40">
        <v>0.0</v>
      </c>
      <c r="J74" s="40" t="s">
        <v>31</v>
      </c>
      <c r="K74" s="40">
        <v>10.0</v>
      </c>
      <c r="L74" s="40"/>
      <c r="M74" s="40">
        <v>69500.0</v>
      </c>
    </row>
    <row r="75">
      <c r="A75" s="40" t="s">
        <v>71</v>
      </c>
      <c r="B75" s="40" t="s">
        <v>400</v>
      </c>
      <c r="C75" s="40" t="s">
        <v>401</v>
      </c>
      <c r="D75" s="40">
        <v>55.0</v>
      </c>
      <c r="E75" s="40">
        <v>26104.0</v>
      </c>
      <c r="F75" s="40" t="s">
        <v>100</v>
      </c>
      <c r="G75" s="40" t="s">
        <v>88</v>
      </c>
      <c r="H75" s="40">
        <v>22.1</v>
      </c>
      <c r="I75" s="40">
        <v>41500.0</v>
      </c>
      <c r="J75" s="40" t="s">
        <v>31</v>
      </c>
      <c r="K75" s="40">
        <v>18.0</v>
      </c>
      <c r="L75" s="40"/>
      <c r="M75" s="40">
        <v>65000.0</v>
      </c>
    </row>
    <row r="76">
      <c r="A76" s="40" t="s">
        <v>76</v>
      </c>
      <c r="B76" s="40" t="s">
        <v>405</v>
      </c>
      <c r="C76" s="40" t="s">
        <v>406</v>
      </c>
      <c r="D76" s="40">
        <v>59.0</v>
      </c>
      <c r="E76" s="40">
        <v>24512.0</v>
      </c>
      <c r="F76" s="40" t="s">
        <v>306</v>
      </c>
      <c r="G76" s="40" t="s">
        <v>302</v>
      </c>
      <c r="H76" s="40">
        <v>6300.0</v>
      </c>
      <c r="I76" s="40">
        <v>15000.0</v>
      </c>
      <c r="J76" s="40" t="s">
        <v>31</v>
      </c>
      <c r="K76" s="40">
        <v>42.0</v>
      </c>
      <c r="L76" s="40"/>
      <c r="M76" s="40">
        <v>8500.0</v>
      </c>
    </row>
    <row r="77">
      <c r="A77" s="40" t="s">
        <v>76</v>
      </c>
      <c r="B77" s="40" t="s">
        <v>407</v>
      </c>
      <c r="C77" s="40" t="s">
        <v>408</v>
      </c>
      <c r="D77" s="40">
        <v>70.0</v>
      </c>
      <c r="E77" s="40" t="s">
        <v>409</v>
      </c>
      <c r="F77" s="40" t="s">
        <v>93</v>
      </c>
      <c r="G77" s="40" t="s">
        <v>94</v>
      </c>
      <c r="H77" s="40">
        <v>2.5</v>
      </c>
      <c r="I77" s="40">
        <v>0.0</v>
      </c>
      <c r="J77" s="40" t="s">
        <v>31</v>
      </c>
      <c r="K77" s="40">
        <v>38.0</v>
      </c>
      <c r="L77" s="40"/>
      <c r="M77" s="40">
        <v>44500.0</v>
      </c>
    </row>
    <row r="78">
      <c r="A78" s="40" t="s">
        <v>71</v>
      </c>
      <c r="B78" s="40" t="s">
        <v>410</v>
      </c>
      <c r="C78" s="40" t="s">
        <v>411</v>
      </c>
      <c r="D78" s="40">
        <v>37.0</v>
      </c>
      <c r="E78" s="40">
        <v>32543.0</v>
      </c>
      <c r="F78" s="40" t="s">
        <v>221</v>
      </c>
      <c r="G78" s="40" t="s">
        <v>222</v>
      </c>
      <c r="H78" s="40">
        <v>29200.0</v>
      </c>
      <c r="I78" s="40" t="s">
        <v>412</v>
      </c>
      <c r="J78" s="40" t="s">
        <v>31</v>
      </c>
      <c r="K78" s="40">
        <v>26.0</v>
      </c>
      <c r="L78" s="40"/>
      <c r="M78" s="40">
        <v>23500.0</v>
      </c>
    </row>
    <row r="79">
      <c r="A79" s="40" t="s">
        <v>71</v>
      </c>
      <c r="B79" s="40" t="s">
        <v>413</v>
      </c>
      <c r="C79" s="40" t="s">
        <v>414</v>
      </c>
      <c r="D79" s="40">
        <v>27.0</v>
      </c>
      <c r="E79" s="40">
        <v>36308.0</v>
      </c>
      <c r="F79" s="40" t="s">
        <v>193</v>
      </c>
      <c r="G79" s="40" t="s">
        <v>195</v>
      </c>
      <c r="H79" s="40">
        <v>5300.0</v>
      </c>
      <c r="I79" s="40" t="s">
        <v>415</v>
      </c>
      <c r="J79" s="40" t="s">
        <v>344</v>
      </c>
      <c r="K79" s="40">
        <v>11.0</v>
      </c>
      <c r="L79" s="40"/>
      <c r="M79" s="40">
        <v>28500.0</v>
      </c>
    </row>
    <row r="80">
      <c r="A80" s="40" t="s">
        <v>71</v>
      </c>
      <c r="B80" s="40" t="s">
        <v>416</v>
      </c>
      <c r="C80" s="40" t="s">
        <v>417</v>
      </c>
      <c r="D80" s="40">
        <v>55.0</v>
      </c>
      <c r="E80" s="40">
        <v>25874.0</v>
      </c>
      <c r="F80" s="40" t="s">
        <v>270</v>
      </c>
      <c r="G80" s="40" t="s">
        <v>418</v>
      </c>
      <c r="H80" s="40">
        <v>29.1</v>
      </c>
      <c r="I80" s="40" t="s">
        <v>227</v>
      </c>
      <c r="J80" s="40" t="s">
        <v>31</v>
      </c>
      <c r="K80" s="40">
        <v>11.0</v>
      </c>
      <c r="L80" s="40"/>
      <c r="M80" s="40">
        <v>56000.0</v>
      </c>
    </row>
    <row r="81">
      <c r="A81" s="40" t="s">
        <v>131</v>
      </c>
      <c r="B81" s="40" t="s">
        <v>419</v>
      </c>
      <c r="C81" s="40" t="s">
        <v>420</v>
      </c>
      <c r="D81" s="40">
        <v>53.0</v>
      </c>
      <c r="E81" s="40" t="s">
        <v>421</v>
      </c>
      <c r="F81" s="40" t="s">
        <v>115</v>
      </c>
      <c r="G81" s="40" t="s">
        <v>117</v>
      </c>
      <c r="H81" s="40">
        <v>27800.0</v>
      </c>
      <c r="I81" s="40" t="s">
        <v>422</v>
      </c>
      <c r="J81" s="40" t="s">
        <v>31</v>
      </c>
      <c r="K81" s="40">
        <v>43.0</v>
      </c>
      <c r="L81" s="40"/>
      <c r="M81" s="40">
        <v>93500.0</v>
      </c>
    </row>
    <row r="82">
      <c r="A82" s="40" t="s">
        <v>71</v>
      </c>
      <c r="B82" s="40" t="s">
        <v>423</v>
      </c>
      <c r="C82" s="40" t="s">
        <v>425</v>
      </c>
      <c r="D82" s="40">
        <v>40.0</v>
      </c>
      <c r="E82" s="40">
        <v>31647.0</v>
      </c>
      <c r="F82" s="40" t="s">
        <v>246</v>
      </c>
      <c r="G82" s="40" t="s">
        <v>205</v>
      </c>
      <c r="H82" s="40" t="s">
        <v>426</v>
      </c>
      <c r="I82" s="40">
        <v>15000.0</v>
      </c>
      <c r="J82" s="40"/>
      <c r="K82" s="40">
        <v>26.0</v>
      </c>
      <c r="L82" s="40"/>
      <c r="M82" s="40">
        <v>89500.0</v>
      </c>
    </row>
    <row r="83">
      <c r="A83" s="40" t="s">
        <v>71</v>
      </c>
      <c r="B83" s="40" t="s">
        <v>427</v>
      </c>
      <c r="C83" s="40">
        <v>34400.0</v>
      </c>
      <c r="D83" s="40">
        <v>64.0</v>
      </c>
      <c r="E83" s="40">
        <v>22836.0</v>
      </c>
      <c r="F83" s="40" t="s">
        <v>428</v>
      </c>
      <c r="G83" s="40" t="s">
        <v>79</v>
      </c>
      <c r="H83" s="40">
        <v>24300.0</v>
      </c>
      <c r="I83" s="40">
        <v>16.5</v>
      </c>
      <c r="J83" s="40" t="s">
        <v>32</v>
      </c>
      <c r="K83" s="40">
        <v>24.0</v>
      </c>
      <c r="L83" s="40"/>
      <c r="M83" s="40">
        <v>57000.0</v>
      </c>
    </row>
    <row r="84">
      <c r="A84" s="40" t="s">
        <v>71</v>
      </c>
      <c r="B84" s="40" t="s">
        <v>429</v>
      </c>
      <c r="C84" s="40" t="s">
        <v>430</v>
      </c>
      <c r="D84" s="40">
        <v>25.0</v>
      </c>
      <c r="E84" s="40" t="s">
        <v>431</v>
      </c>
      <c r="F84" s="40" t="s">
        <v>74</v>
      </c>
      <c r="G84" s="40" t="s">
        <v>75</v>
      </c>
      <c r="H84" s="40">
        <v>28.8</v>
      </c>
      <c r="I84" s="40"/>
      <c r="J84" s="40" t="s">
        <v>31</v>
      </c>
      <c r="K84" s="40">
        <v>12.0</v>
      </c>
      <c r="L84" s="40"/>
      <c r="M84" s="40">
        <v>46500.0</v>
      </c>
    </row>
    <row r="85">
      <c r="A85" s="40" t="s">
        <v>71</v>
      </c>
      <c r="B85" s="40" t="s">
        <v>432</v>
      </c>
      <c r="C85" s="40" t="s">
        <v>433</v>
      </c>
      <c r="D85" s="40" t="s">
        <v>434</v>
      </c>
      <c r="E85" s="40" t="s">
        <v>435</v>
      </c>
      <c r="F85" s="40" t="s">
        <v>258</v>
      </c>
      <c r="G85" s="40"/>
      <c r="H85" s="40">
        <v>12200.0</v>
      </c>
      <c r="I85" s="40" t="s">
        <v>436</v>
      </c>
      <c r="J85" s="40" t="s">
        <v>110</v>
      </c>
      <c r="K85" s="40">
        <v>33.0</v>
      </c>
      <c r="L85" s="40"/>
      <c r="M85" s="40">
        <v>78000.0</v>
      </c>
    </row>
    <row r="86">
      <c r="A86" s="40" t="s">
        <v>71</v>
      </c>
      <c r="B86" s="40" t="s">
        <v>438</v>
      </c>
      <c r="C86" s="40">
        <v>32000.0</v>
      </c>
      <c r="D86" s="40">
        <v>68.0</v>
      </c>
      <c r="E86" s="40">
        <v>21162.0</v>
      </c>
      <c r="F86" s="40" t="s">
        <v>203</v>
      </c>
      <c r="G86" s="40" t="s">
        <v>205</v>
      </c>
      <c r="H86" s="40">
        <v>11.5</v>
      </c>
      <c r="I86" s="40">
        <v>17500.0</v>
      </c>
      <c r="J86" s="40" t="s">
        <v>31</v>
      </c>
      <c r="K86" s="40">
        <v>19.0</v>
      </c>
      <c r="L86" s="40"/>
      <c r="M86" s="40">
        <v>26000.0</v>
      </c>
    </row>
    <row r="87">
      <c r="A87" s="40" t="s">
        <v>71</v>
      </c>
      <c r="B87" s="40" t="s">
        <v>439</v>
      </c>
      <c r="C87" s="40" t="s">
        <v>440</v>
      </c>
      <c r="D87" s="40">
        <v>37.0</v>
      </c>
      <c r="E87" s="40">
        <v>32412.0</v>
      </c>
      <c r="F87" s="40" t="s">
        <v>246</v>
      </c>
      <c r="G87" s="40" t="s">
        <v>262</v>
      </c>
      <c r="H87" s="40">
        <v>24700.0</v>
      </c>
      <c r="I87" s="40" t="s">
        <v>441</v>
      </c>
      <c r="J87" s="40" t="s">
        <v>32</v>
      </c>
      <c r="K87" s="40" t="s">
        <v>442</v>
      </c>
      <c r="L87" s="40"/>
      <c r="M87" s="40">
        <v>37500.0</v>
      </c>
    </row>
    <row r="88">
      <c r="A88" s="40" t="s">
        <v>71</v>
      </c>
      <c r="B88" s="40" t="s">
        <v>443</v>
      </c>
      <c r="C88" s="40" t="s">
        <v>444</v>
      </c>
      <c r="D88" s="40">
        <v>62.0</v>
      </c>
      <c r="E88" s="40">
        <v>23488.0</v>
      </c>
      <c r="F88" s="40" t="s">
        <v>74</v>
      </c>
      <c r="G88" s="40" t="s">
        <v>75</v>
      </c>
      <c r="H88" s="40" t="s">
        <v>271</v>
      </c>
      <c r="I88" s="40" t="s">
        <v>109</v>
      </c>
      <c r="J88" s="40" t="s">
        <v>31</v>
      </c>
      <c r="K88" s="40" t="s">
        <v>351</v>
      </c>
      <c r="L88" s="40"/>
      <c r="M88" s="40">
        <v>72000.0</v>
      </c>
    </row>
    <row r="89">
      <c r="A89" s="40" t="s">
        <v>71</v>
      </c>
      <c r="B89" s="40" t="s">
        <v>445</v>
      </c>
      <c r="C89" s="40" t="s">
        <v>446</v>
      </c>
      <c r="D89" s="40" t="s">
        <v>447</v>
      </c>
      <c r="E89" s="40">
        <v>37491.0</v>
      </c>
      <c r="F89" s="40" t="s">
        <v>270</v>
      </c>
      <c r="G89" s="40" t="s">
        <v>418</v>
      </c>
      <c r="H89" s="40" t="s">
        <v>448</v>
      </c>
      <c r="I89" s="40">
        <v>19500.0</v>
      </c>
      <c r="J89" s="40" t="s">
        <v>32</v>
      </c>
      <c r="K89" s="40">
        <v>33.0</v>
      </c>
      <c r="L89" s="40"/>
      <c r="M89" s="40">
        <v>96500.0</v>
      </c>
    </row>
    <row r="90">
      <c r="A90" s="40" t="s">
        <v>71</v>
      </c>
      <c r="B90" s="40" t="s">
        <v>450</v>
      </c>
      <c r="C90" s="40" t="s">
        <v>451</v>
      </c>
      <c r="D90" s="40">
        <v>35.0</v>
      </c>
      <c r="E90" s="40"/>
      <c r="F90" s="40" t="s">
        <v>221</v>
      </c>
      <c r="G90" s="40" t="s">
        <v>222</v>
      </c>
      <c r="H90" s="40">
        <v>28000.0</v>
      </c>
      <c r="I90" s="40" t="s">
        <v>452</v>
      </c>
      <c r="J90" s="40" t="s">
        <v>31</v>
      </c>
      <c r="K90" s="40">
        <v>39.0</v>
      </c>
      <c r="L90" s="40"/>
      <c r="M90" s="40">
        <v>32000.0</v>
      </c>
    </row>
    <row r="91">
      <c r="A91" s="40" t="s">
        <v>71</v>
      </c>
      <c r="B91" s="40" t="s">
        <v>453</v>
      </c>
      <c r="C91" s="40" t="s">
        <v>454</v>
      </c>
      <c r="D91" s="40">
        <v>40.0</v>
      </c>
      <c r="E91" s="40">
        <v>31408.0</v>
      </c>
      <c r="F91" s="40" t="s">
        <v>455</v>
      </c>
      <c r="G91" s="40"/>
      <c r="H91" s="40">
        <v>17400.0</v>
      </c>
      <c r="I91" s="40">
        <v>53.0</v>
      </c>
      <c r="J91" s="40" t="s">
        <v>32</v>
      </c>
      <c r="K91" s="40">
        <v>20.0</v>
      </c>
      <c r="L91" s="40"/>
      <c r="M91" s="40">
        <v>52500.0</v>
      </c>
    </row>
    <row r="92">
      <c r="A92" s="40" t="s">
        <v>259</v>
      </c>
      <c r="B92" s="40" t="s">
        <v>456</v>
      </c>
      <c r="C92" s="40" t="s">
        <v>457</v>
      </c>
      <c r="D92" s="40">
        <v>59.0</v>
      </c>
      <c r="E92" s="40">
        <v>24362.0</v>
      </c>
      <c r="F92" s="40" t="s">
        <v>255</v>
      </c>
      <c r="G92" s="40" t="s">
        <v>205</v>
      </c>
      <c r="H92" s="40">
        <v>18900.0</v>
      </c>
      <c r="I92" s="40">
        <v>1000.0</v>
      </c>
      <c r="J92" s="40" t="s">
        <v>268</v>
      </c>
      <c r="K92" s="40">
        <v>42.0</v>
      </c>
      <c r="L92" s="40"/>
      <c r="M92" s="40">
        <v>16500.0</v>
      </c>
    </row>
    <row r="93">
      <c r="A93" s="40" t="s">
        <v>76</v>
      </c>
      <c r="B93" s="40" t="s">
        <v>458</v>
      </c>
      <c r="C93" s="40" t="s">
        <v>459</v>
      </c>
      <c r="D93" s="40"/>
      <c r="E93" s="40">
        <v>19672.0</v>
      </c>
      <c r="F93" s="40" t="s">
        <v>270</v>
      </c>
      <c r="G93" s="40" t="s">
        <v>270</v>
      </c>
      <c r="H93" s="40">
        <v>21000.0</v>
      </c>
      <c r="I93" s="40">
        <v>0.0</v>
      </c>
      <c r="J93" s="40" t="s">
        <v>277</v>
      </c>
      <c r="K93" s="40">
        <v>11.0</v>
      </c>
      <c r="L93" s="40"/>
      <c r="M93" s="40">
        <v>75500.0</v>
      </c>
    </row>
    <row r="94">
      <c r="A94" s="40" t="s">
        <v>71</v>
      </c>
      <c r="B94" s="40" t="s">
        <v>460</v>
      </c>
      <c r="C94" s="40" t="s">
        <v>461</v>
      </c>
      <c r="D94" s="40">
        <v>42.0</v>
      </c>
      <c r="E94" s="40" t="s">
        <v>462</v>
      </c>
      <c r="F94" s="40" t="s">
        <v>82</v>
      </c>
      <c r="G94" s="40" t="s">
        <v>463</v>
      </c>
      <c r="H94" s="40">
        <v>6000.0</v>
      </c>
      <c r="I94" s="40" t="s">
        <v>464</v>
      </c>
      <c r="J94" s="40" t="s">
        <v>31</v>
      </c>
      <c r="K94" s="40">
        <v>5.0</v>
      </c>
      <c r="L94" s="40"/>
      <c r="M94" s="40">
        <v>10000.0</v>
      </c>
    </row>
    <row r="95">
      <c r="A95" s="40" t="s">
        <v>71</v>
      </c>
      <c r="B95" s="40" t="s">
        <v>465</v>
      </c>
      <c r="C95" s="40" t="s">
        <v>466</v>
      </c>
      <c r="D95" s="40">
        <v>60.0</v>
      </c>
      <c r="E95" s="47">
        <v>23905.0</v>
      </c>
      <c r="F95" s="40" t="s">
        <v>342</v>
      </c>
      <c r="G95" s="40" t="s">
        <v>343</v>
      </c>
      <c r="H95" s="40">
        <v>13.8</v>
      </c>
      <c r="I95" s="40">
        <v>45500.0</v>
      </c>
      <c r="J95" s="40" t="s">
        <v>31</v>
      </c>
      <c r="K95" s="40">
        <v>30.0</v>
      </c>
      <c r="L95" s="40"/>
      <c r="M95" s="40">
        <v>17500.0</v>
      </c>
    </row>
    <row r="96">
      <c r="A96" s="40" t="s">
        <v>71</v>
      </c>
      <c r="B96" s="40" t="s">
        <v>469</v>
      </c>
      <c r="C96" s="40" t="s">
        <v>470</v>
      </c>
      <c r="D96" s="40">
        <v>36.0</v>
      </c>
      <c r="E96" s="40">
        <v>32791.0</v>
      </c>
      <c r="F96" s="40" t="s">
        <v>258</v>
      </c>
      <c r="G96" s="40" t="s">
        <v>302</v>
      </c>
      <c r="H96" s="40">
        <v>23900.0</v>
      </c>
      <c r="I96" s="40">
        <v>58000.0</v>
      </c>
      <c r="J96" s="40" t="s">
        <v>31</v>
      </c>
      <c r="K96" s="40">
        <v>27.0</v>
      </c>
      <c r="L96" s="40"/>
      <c r="M96" s="40">
        <v>38000.0</v>
      </c>
    </row>
    <row r="97">
      <c r="A97" s="40" t="s">
        <v>71</v>
      </c>
      <c r="B97" s="40" t="s">
        <v>471</v>
      </c>
      <c r="C97" s="40" t="s">
        <v>472</v>
      </c>
      <c r="D97" s="40">
        <v>74.0</v>
      </c>
      <c r="E97" s="40">
        <v>19121.0</v>
      </c>
      <c r="F97" s="40" t="s">
        <v>203</v>
      </c>
      <c r="G97" s="40" t="s">
        <v>205</v>
      </c>
      <c r="H97" s="40">
        <v>7300.0</v>
      </c>
      <c r="I97" s="40">
        <v>1000.0</v>
      </c>
      <c r="J97" s="40" t="s">
        <v>31</v>
      </c>
      <c r="K97" s="40">
        <v>3.0</v>
      </c>
      <c r="L97" s="40"/>
      <c r="M97" s="40">
        <v>50500.0</v>
      </c>
    </row>
    <row r="98">
      <c r="A98" s="40" t="s">
        <v>259</v>
      </c>
      <c r="B98" s="40" t="s">
        <v>474</v>
      </c>
      <c r="C98" s="40">
        <v>20700.0</v>
      </c>
      <c r="D98" s="40">
        <v>66.0</v>
      </c>
      <c r="E98" s="40" t="s">
        <v>477</v>
      </c>
      <c r="F98" s="40" t="s">
        <v>304</v>
      </c>
      <c r="G98" s="40"/>
      <c r="H98" s="40" t="s">
        <v>479</v>
      </c>
      <c r="I98" s="40">
        <v>16000.0</v>
      </c>
      <c r="J98" s="40" t="s">
        <v>32</v>
      </c>
      <c r="K98" s="40">
        <v>44.0</v>
      </c>
      <c r="L98" s="40"/>
      <c r="M98" s="40">
        <v>59000.0</v>
      </c>
    </row>
    <row r="99">
      <c r="A99" s="40" t="s">
        <v>71</v>
      </c>
      <c r="B99" s="40" t="s">
        <v>481</v>
      </c>
      <c r="C99" s="40" t="s">
        <v>482</v>
      </c>
      <c r="D99" s="40">
        <v>34.0</v>
      </c>
      <c r="E99" s="40">
        <v>33835.0</v>
      </c>
      <c r="F99" s="40" t="s">
        <v>484</v>
      </c>
      <c r="G99" s="40"/>
      <c r="H99" s="40">
        <v>5100.0</v>
      </c>
      <c r="I99" s="40">
        <v>17000.0</v>
      </c>
      <c r="J99" s="40" t="s">
        <v>31</v>
      </c>
      <c r="K99" s="40" t="s">
        <v>487</v>
      </c>
      <c r="L99" s="40"/>
      <c r="M99" s="40">
        <v>4500.0</v>
      </c>
    </row>
    <row r="100">
      <c r="A100" s="40" t="s">
        <v>71</v>
      </c>
      <c r="B100" s="40" t="s">
        <v>438</v>
      </c>
      <c r="C100" s="40" t="s">
        <v>488</v>
      </c>
      <c r="D100" s="40">
        <v>65.0</v>
      </c>
      <c r="E100" s="47">
        <v>22377.0</v>
      </c>
      <c r="F100" s="40" t="s">
        <v>74</v>
      </c>
      <c r="G100" s="40" t="s">
        <v>123</v>
      </c>
      <c r="H100" s="40">
        <v>12700.0</v>
      </c>
      <c r="I100" s="40" t="s">
        <v>489</v>
      </c>
      <c r="J100" s="40" t="s">
        <v>31</v>
      </c>
      <c r="K100" s="40">
        <v>36.0</v>
      </c>
      <c r="L100" s="40"/>
      <c r="M100" s="40">
        <v>28000.0</v>
      </c>
    </row>
    <row r="101">
      <c r="A101" s="40" t="s">
        <v>76</v>
      </c>
      <c r="B101" s="40" t="s">
        <v>490</v>
      </c>
      <c r="C101" s="40" t="s">
        <v>491</v>
      </c>
      <c r="D101" s="40">
        <v>68.0</v>
      </c>
      <c r="E101" s="40" t="s">
        <v>492</v>
      </c>
      <c r="F101" s="40" t="s">
        <v>258</v>
      </c>
      <c r="G101" s="40" t="s">
        <v>222</v>
      </c>
      <c r="H101" s="40">
        <v>8200.0</v>
      </c>
      <c r="I101" s="40" t="s">
        <v>493</v>
      </c>
      <c r="J101" s="40" t="s">
        <v>31</v>
      </c>
      <c r="K101" s="40">
        <v>16.0</v>
      </c>
      <c r="L101" s="40"/>
      <c r="M101" s="40">
        <v>84000.0</v>
      </c>
    </row>
    <row r="102">
      <c r="A102" s="40" t="s">
        <v>76</v>
      </c>
      <c r="B102" s="40" t="s">
        <v>494</v>
      </c>
      <c r="C102" s="40" t="s">
        <v>495</v>
      </c>
      <c r="D102" s="40">
        <v>59.0</v>
      </c>
      <c r="E102" s="40" t="s">
        <v>496</v>
      </c>
      <c r="F102" s="40" t="s">
        <v>115</v>
      </c>
      <c r="G102" s="40" t="s">
        <v>117</v>
      </c>
      <c r="H102" s="40" t="s">
        <v>497</v>
      </c>
      <c r="I102" s="40">
        <v>11000.0</v>
      </c>
      <c r="J102" s="40" t="s">
        <v>344</v>
      </c>
      <c r="K102" s="40">
        <v>27.0</v>
      </c>
      <c r="L102" s="40"/>
      <c r="M102" s="40">
        <v>87000.0</v>
      </c>
    </row>
    <row r="103">
      <c r="A103" s="40" t="s">
        <v>71</v>
      </c>
      <c r="B103" s="40" t="s">
        <v>498</v>
      </c>
      <c r="C103" s="40" t="s">
        <v>499</v>
      </c>
      <c r="D103" s="40">
        <v>29.0</v>
      </c>
      <c r="E103" s="40">
        <v>35600.0</v>
      </c>
      <c r="F103" s="40" t="s">
        <v>316</v>
      </c>
      <c r="G103" s="40" t="s">
        <v>463</v>
      </c>
      <c r="H103" s="40">
        <v>10000.0</v>
      </c>
      <c r="I103" s="40">
        <v>25500.0</v>
      </c>
      <c r="J103" s="40" t="s">
        <v>31</v>
      </c>
      <c r="K103" s="40">
        <v>15.0</v>
      </c>
      <c r="L103" s="40"/>
      <c r="M103" s="40">
        <v>66000.0</v>
      </c>
    </row>
    <row r="104">
      <c r="A104" s="40" t="s">
        <v>71</v>
      </c>
      <c r="B104" s="40" t="s">
        <v>501</v>
      </c>
      <c r="C104" s="40" t="s">
        <v>502</v>
      </c>
      <c r="D104" s="40">
        <v>69.0</v>
      </c>
      <c r="E104" s="40">
        <v>20725.0</v>
      </c>
      <c r="F104" s="40" t="s">
        <v>193</v>
      </c>
      <c r="G104" s="40" t="s">
        <v>503</v>
      </c>
      <c r="H104" s="40">
        <v>8100.0</v>
      </c>
      <c r="I104" s="40">
        <v>27500.0</v>
      </c>
      <c r="J104" s="40" t="s">
        <v>344</v>
      </c>
      <c r="K104" s="40">
        <v>42.0</v>
      </c>
      <c r="L104" s="40"/>
      <c r="M104" s="40">
        <v>72500.0</v>
      </c>
    </row>
    <row r="105">
      <c r="A105" s="40" t="s">
        <v>71</v>
      </c>
      <c r="B105" s="40" t="s">
        <v>410</v>
      </c>
      <c r="C105" s="40" t="s">
        <v>411</v>
      </c>
      <c r="D105" s="40">
        <v>37.0</v>
      </c>
      <c r="E105" s="40">
        <v>32543.0</v>
      </c>
      <c r="F105" s="40" t="s">
        <v>221</v>
      </c>
      <c r="G105" s="40" t="s">
        <v>222</v>
      </c>
      <c r="H105" s="40">
        <v>29200.0</v>
      </c>
      <c r="I105" s="40" t="s">
        <v>412</v>
      </c>
      <c r="J105" s="40" t="s">
        <v>31</v>
      </c>
      <c r="K105" s="40">
        <v>26.0</v>
      </c>
      <c r="L105" s="40"/>
      <c r="M105" s="40">
        <v>78000.0</v>
      </c>
    </row>
    <row r="106">
      <c r="A106" s="40" t="s">
        <v>76</v>
      </c>
      <c r="B106" s="40" t="s">
        <v>504</v>
      </c>
      <c r="C106" s="40" t="s">
        <v>505</v>
      </c>
      <c r="D106" s="40">
        <v>30.0</v>
      </c>
      <c r="E106" s="40" t="s">
        <v>506</v>
      </c>
      <c r="F106" s="40" t="s">
        <v>136</v>
      </c>
      <c r="G106" s="40" t="s">
        <v>359</v>
      </c>
      <c r="H106" s="40">
        <v>26500.0</v>
      </c>
      <c r="I106" s="40">
        <v>14500.0</v>
      </c>
      <c r="J106" s="40">
        <v>0.0</v>
      </c>
      <c r="K106" s="40">
        <v>15.0</v>
      </c>
      <c r="L106" s="40"/>
      <c r="M106" s="40">
        <v>65500.0</v>
      </c>
    </row>
    <row r="107">
      <c r="A107" s="40" t="s">
        <v>71</v>
      </c>
      <c r="B107" s="40" t="s">
        <v>507</v>
      </c>
      <c r="C107" s="40" t="s">
        <v>508</v>
      </c>
      <c r="D107" s="40">
        <v>58.0</v>
      </c>
      <c r="E107" s="40">
        <v>24905.0</v>
      </c>
      <c r="F107" s="40" t="s">
        <v>115</v>
      </c>
      <c r="G107" s="40" t="s">
        <v>359</v>
      </c>
      <c r="H107" s="40">
        <v>12.4</v>
      </c>
      <c r="I107" s="40">
        <v>21.5</v>
      </c>
      <c r="J107" s="40" t="s">
        <v>32</v>
      </c>
      <c r="K107" s="40" t="s">
        <v>509</v>
      </c>
      <c r="L107" s="40"/>
      <c r="M107" s="40">
        <v>80000.0</v>
      </c>
    </row>
    <row r="108">
      <c r="A108" s="40" t="s">
        <v>71</v>
      </c>
      <c r="B108" s="40" t="s">
        <v>510</v>
      </c>
      <c r="C108" s="40">
        <v>24000.0</v>
      </c>
      <c r="D108" s="40">
        <v>47.0</v>
      </c>
      <c r="E108" s="40" t="s">
        <v>511</v>
      </c>
      <c r="F108" s="40" t="s">
        <v>512</v>
      </c>
      <c r="G108" s="40"/>
      <c r="H108" s="40">
        <v>28.4</v>
      </c>
      <c r="I108" s="40">
        <v>78000.0</v>
      </c>
      <c r="J108" s="40" t="s">
        <v>31</v>
      </c>
      <c r="K108" s="40">
        <v>37.0</v>
      </c>
      <c r="L108" s="40"/>
      <c r="M108" s="40">
        <v>99000.0</v>
      </c>
    </row>
    <row r="109">
      <c r="A109" s="40" t="s">
        <v>71</v>
      </c>
      <c r="B109" s="40" t="s">
        <v>513</v>
      </c>
      <c r="C109" s="40" t="s">
        <v>514</v>
      </c>
      <c r="D109" s="40">
        <v>31.0</v>
      </c>
      <c r="E109" s="47">
        <v>34736.0</v>
      </c>
      <c r="F109" s="40" t="s">
        <v>304</v>
      </c>
      <c r="G109" s="40"/>
      <c r="H109" s="40">
        <v>20500.0</v>
      </c>
      <c r="I109" s="40" t="s">
        <v>515</v>
      </c>
      <c r="J109" s="40" t="s">
        <v>31</v>
      </c>
      <c r="K109" s="40">
        <v>11.0</v>
      </c>
      <c r="L109" s="40"/>
      <c r="M109" s="40">
        <v>18500.0</v>
      </c>
    </row>
    <row r="110">
      <c r="A110" s="40" t="s">
        <v>516</v>
      </c>
      <c r="B110" s="40" t="s">
        <v>517</v>
      </c>
      <c r="C110" s="40" t="s">
        <v>518</v>
      </c>
      <c r="D110" s="40">
        <v>63.0</v>
      </c>
      <c r="E110" s="40">
        <v>23084.0</v>
      </c>
      <c r="F110" s="40" t="s">
        <v>221</v>
      </c>
      <c r="G110" s="40" t="s">
        <v>222</v>
      </c>
      <c r="H110" s="40">
        <v>17300.0</v>
      </c>
      <c r="I110" s="40">
        <v>22000.0</v>
      </c>
      <c r="J110" s="40" t="s">
        <v>31</v>
      </c>
      <c r="K110" s="40">
        <v>10.0</v>
      </c>
      <c r="L110" s="40"/>
      <c r="M110" s="40">
        <v>97000.0</v>
      </c>
    </row>
    <row r="111">
      <c r="A111" s="40" t="s">
        <v>71</v>
      </c>
      <c r="B111" s="40" t="s">
        <v>519</v>
      </c>
      <c r="C111" s="40">
        <v>12700.0</v>
      </c>
      <c r="D111" s="40">
        <v>26.0</v>
      </c>
      <c r="E111" s="40" t="s">
        <v>520</v>
      </c>
      <c r="F111" s="40" t="s">
        <v>234</v>
      </c>
      <c r="G111" s="40" t="s">
        <v>205</v>
      </c>
      <c r="H111" s="40" t="s">
        <v>521</v>
      </c>
      <c r="I111" s="40" t="s">
        <v>522</v>
      </c>
      <c r="J111" s="40" t="s">
        <v>31</v>
      </c>
      <c r="K111" s="40">
        <v>35.0</v>
      </c>
      <c r="L111" s="40"/>
      <c r="M111" s="40">
        <v>18500.0</v>
      </c>
    </row>
    <row r="112">
      <c r="A112" s="40" t="s">
        <v>71</v>
      </c>
      <c r="B112" s="40" t="s">
        <v>523</v>
      </c>
      <c r="C112" s="40">
        <v>18000.0</v>
      </c>
      <c r="D112" s="40">
        <v>29.0</v>
      </c>
      <c r="E112" s="40">
        <v>35344.0</v>
      </c>
      <c r="F112" s="40" t="s">
        <v>74</v>
      </c>
      <c r="G112" s="40" t="s">
        <v>123</v>
      </c>
      <c r="H112" s="40">
        <v>19900.0</v>
      </c>
      <c r="I112" s="40">
        <v>49500.0</v>
      </c>
      <c r="J112" s="40" t="s">
        <v>32</v>
      </c>
      <c r="K112" s="40">
        <v>27.0</v>
      </c>
      <c r="L112" s="40"/>
      <c r="M112" s="40">
        <v>23000.0</v>
      </c>
    </row>
    <row r="113">
      <c r="A113" s="40" t="s">
        <v>71</v>
      </c>
      <c r="B113" s="40" t="s">
        <v>524</v>
      </c>
      <c r="C113" s="40" t="s">
        <v>525</v>
      </c>
      <c r="D113" s="40">
        <v>51.0</v>
      </c>
      <c r="E113" s="40" t="s">
        <v>526</v>
      </c>
      <c r="F113" s="40" t="s">
        <v>246</v>
      </c>
      <c r="G113" s="40" t="s">
        <v>236</v>
      </c>
      <c r="H113" s="40">
        <v>18500.0</v>
      </c>
      <c r="I113" s="40">
        <v>69.5</v>
      </c>
      <c r="J113" s="40" t="s">
        <v>31</v>
      </c>
      <c r="K113" s="40" t="s">
        <v>527</v>
      </c>
      <c r="L113" s="40"/>
      <c r="M113" s="40">
        <v>18000.0</v>
      </c>
    </row>
    <row r="114">
      <c r="A114" s="40" t="s">
        <v>71</v>
      </c>
      <c r="B114" s="40" t="s">
        <v>528</v>
      </c>
      <c r="C114" s="40" t="s">
        <v>529</v>
      </c>
      <c r="D114" s="40">
        <v>46.0</v>
      </c>
      <c r="E114" s="47">
        <v>29079.0</v>
      </c>
      <c r="F114" s="40" t="s">
        <v>115</v>
      </c>
      <c r="G114" s="40" t="s">
        <v>117</v>
      </c>
      <c r="H114" s="40">
        <v>3200.0</v>
      </c>
      <c r="I114" s="40">
        <v>0.0</v>
      </c>
      <c r="J114" s="40" t="s">
        <v>31</v>
      </c>
      <c r="K114" s="40">
        <v>16.0</v>
      </c>
      <c r="L114" s="40"/>
      <c r="M114" s="40">
        <v>61500.0</v>
      </c>
    </row>
    <row r="115">
      <c r="A115" s="40" t="s">
        <v>71</v>
      </c>
      <c r="B115" s="40" t="s">
        <v>530</v>
      </c>
      <c r="C115" s="40" t="s">
        <v>531</v>
      </c>
      <c r="D115" s="40">
        <v>65.0</v>
      </c>
      <c r="E115" s="47">
        <v>22623.0</v>
      </c>
      <c r="F115" s="40" t="s">
        <v>234</v>
      </c>
      <c r="G115" s="40" t="s">
        <v>205</v>
      </c>
      <c r="H115" s="40" t="s">
        <v>532</v>
      </c>
      <c r="I115" s="40">
        <v>28500.0</v>
      </c>
      <c r="J115" s="40" t="s">
        <v>31</v>
      </c>
      <c r="K115" s="40">
        <v>28.0</v>
      </c>
      <c r="L115" s="40"/>
      <c r="M115" s="40">
        <v>57500.0</v>
      </c>
    </row>
    <row r="116">
      <c r="A116" s="40" t="s">
        <v>71</v>
      </c>
      <c r="B116" s="40" t="s">
        <v>533</v>
      </c>
      <c r="C116" s="40" t="s">
        <v>534</v>
      </c>
      <c r="D116" s="40">
        <v>26.0</v>
      </c>
      <c r="E116" s="40">
        <v>36475.0</v>
      </c>
      <c r="F116" s="40" t="s">
        <v>535</v>
      </c>
      <c r="G116" s="40"/>
      <c r="H116" s="40">
        <v>13900.0</v>
      </c>
      <c r="I116" s="40" t="s">
        <v>536</v>
      </c>
      <c r="J116" s="40" t="s">
        <v>31</v>
      </c>
      <c r="K116" s="40">
        <v>12.0</v>
      </c>
      <c r="L116" s="40"/>
      <c r="M116" s="40">
        <v>85000.0</v>
      </c>
    </row>
    <row r="117">
      <c r="A117" s="40" t="s">
        <v>76</v>
      </c>
      <c r="B117" s="40" t="s">
        <v>537</v>
      </c>
      <c r="C117" s="40" t="s">
        <v>538</v>
      </c>
      <c r="D117" s="40">
        <v>63.0</v>
      </c>
      <c r="E117" s="40">
        <v>22994.0</v>
      </c>
      <c r="F117" s="40" t="s">
        <v>100</v>
      </c>
      <c r="G117" s="40" t="s">
        <v>168</v>
      </c>
      <c r="H117" s="40">
        <v>20000.0</v>
      </c>
      <c r="I117" s="40" t="s">
        <v>539</v>
      </c>
      <c r="J117" s="40" t="s">
        <v>31</v>
      </c>
      <c r="K117" s="40">
        <v>42.0</v>
      </c>
      <c r="L117" s="40"/>
      <c r="M117" s="40">
        <v>5000.0</v>
      </c>
    </row>
    <row r="118">
      <c r="A118" s="40" t="s">
        <v>71</v>
      </c>
      <c r="B118" s="40" t="s">
        <v>540</v>
      </c>
      <c r="C118" s="40">
        <v>27900.0</v>
      </c>
      <c r="D118" s="40">
        <v>71.0</v>
      </c>
      <c r="E118" s="47">
        <v>20210.0</v>
      </c>
      <c r="F118" s="40" t="s">
        <v>306</v>
      </c>
      <c r="G118" s="40" t="s">
        <v>222</v>
      </c>
      <c r="H118" s="40">
        <v>24100.0</v>
      </c>
      <c r="I118" s="40">
        <v>0.0</v>
      </c>
      <c r="J118" s="40" t="s">
        <v>344</v>
      </c>
      <c r="K118" s="40">
        <v>10.0</v>
      </c>
      <c r="L118" s="40"/>
      <c r="M118" s="40">
        <v>87000.0</v>
      </c>
    </row>
    <row r="119">
      <c r="A119" s="40" t="s">
        <v>71</v>
      </c>
      <c r="B119" s="40" t="s">
        <v>541</v>
      </c>
      <c r="C119" s="40"/>
      <c r="D119" s="40">
        <v>73.0</v>
      </c>
      <c r="E119" s="40">
        <v>19538.0</v>
      </c>
      <c r="F119" s="40" t="s">
        <v>82</v>
      </c>
      <c r="G119" s="40" t="s">
        <v>463</v>
      </c>
      <c r="H119" s="40">
        <v>12700.0</v>
      </c>
      <c r="I119" s="40" t="s">
        <v>542</v>
      </c>
      <c r="J119" s="40" t="s">
        <v>31</v>
      </c>
      <c r="K119" s="40">
        <v>35.0</v>
      </c>
      <c r="L119" s="40"/>
      <c r="M119" s="40">
        <v>39000.0</v>
      </c>
    </row>
    <row r="120">
      <c r="A120" s="40" t="s">
        <v>71</v>
      </c>
      <c r="B120" s="40" t="s">
        <v>543</v>
      </c>
      <c r="C120" s="40">
        <v>26400.0</v>
      </c>
      <c r="D120" s="40">
        <v>57.0</v>
      </c>
      <c r="E120" s="40">
        <v>25238.0</v>
      </c>
      <c r="F120" s="40" t="s">
        <v>535</v>
      </c>
      <c r="G120" s="40"/>
      <c r="H120" s="40">
        <v>3200.0</v>
      </c>
      <c r="I120" s="40"/>
      <c r="J120" s="40" t="s">
        <v>31</v>
      </c>
      <c r="K120" s="40">
        <v>18.0</v>
      </c>
      <c r="L120" s="40"/>
      <c r="M120" s="40">
        <v>64000.0</v>
      </c>
    </row>
    <row r="121">
      <c r="A121" s="40" t="s">
        <v>71</v>
      </c>
      <c r="B121" s="40" t="s">
        <v>544</v>
      </c>
      <c r="C121" s="40">
        <v>9900.0</v>
      </c>
      <c r="D121" s="40">
        <v>64.0</v>
      </c>
      <c r="E121" s="47">
        <v>22653.0</v>
      </c>
      <c r="F121" s="40" t="s">
        <v>253</v>
      </c>
      <c r="G121" s="40" t="s">
        <v>230</v>
      </c>
      <c r="H121" s="40" t="s">
        <v>545</v>
      </c>
      <c r="I121" s="40" t="s">
        <v>546</v>
      </c>
      <c r="J121" s="40" t="s">
        <v>31</v>
      </c>
      <c r="K121" s="40">
        <v>32.0</v>
      </c>
      <c r="L121" s="40"/>
      <c r="M121" s="40">
        <v>72500.0</v>
      </c>
    </row>
    <row r="122">
      <c r="A122" s="40" t="s">
        <v>76</v>
      </c>
      <c r="B122" s="40" t="s">
        <v>548</v>
      </c>
      <c r="C122" s="40">
        <v>16000.0</v>
      </c>
      <c r="D122" s="40">
        <v>73.0</v>
      </c>
      <c r="E122" s="47">
        <v>19004.0</v>
      </c>
      <c r="F122" s="40" t="s">
        <v>78</v>
      </c>
      <c r="G122" s="40" t="s">
        <v>218</v>
      </c>
      <c r="H122" s="40">
        <v>7100.0</v>
      </c>
      <c r="I122" s="40" t="s">
        <v>549</v>
      </c>
      <c r="J122" s="40" t="s">
        <v>32</v>
      </c>
      <c r="K122" s="40">
        <v>22.0</v>
      </c>
      <c r="L122" s="40"/>
      <c r="M122" s="40">
        <v>46500.0</v>
      </c>
    </row>
    <row r="123">
      <c r="A123" s="40" t="s">
        <v>71</v>
      </c>
      <c r="B123" s="40" t="s">
        <v>550</v>
      </c>
      <c r="C123" s="40" t="s">
        <v>551</v>
      </c>
      <c r="D123" s="40">
        <v>28.0</v>
      </c>
      <c r="E123" s="40" t="s">
        <v>552</v>
      </c>
      <c r="F123" s="40" t="s">
        <v>93</v>
      </c>
      <c r="G123" s="40" t="s">
        <v>94</v>
      </c>
      <c r="H123" s="40" t="s">
        <v>553</v>
      </c>
      <c r="I123" s="40" t="s">
        <v>554</v>
      </c>
      <c r="J123" s="40" t="s">
        <v>31</v>
      </c>
      <c r="K123" s="40">
        <v>15.0</v>
      </c>
      <c r="L123" s="40"/>
      <c r="M123" s="40">
        <v>99000.0</v>
      </c>
    </row>
    <row r="124">
      <c r="A124" s="40" t="s">
        <v>71</v>
      </c>
      <c r="B124" s="40" t="s">
        <v>555</v>
      </c>
      <c r="C124" s="40" t="s">
        <v>556</v>
      </c>
      <c r="D124" s="40">
        <v>26.0</v>
      </c>
      <c r="E124" s="40">
        <v>36622.0</v>
      </c>
      <c r="F124" s="40" t="s">
        <v>270</v>
      </c>
      <c r="G124" s="40" t="s">
        <v>270</v>
      </c>
      <c r="H124" s="40" t="s">
        <v>557</v>
      </c>
      <c r="I124" s="40" t="s">
        <v>558</v>
      </c>
      <c r="J124" s="40" t="s">
        <v>559</v>
      </c>
      <c r="K124" s="40">
        <v>40.0</v>
      </c>
      <c r="L124" s="40"/>
      <c r="M124" s="40">
        <v>95500.0</v>
      </c>
    </row>
    <row r="125">
      <c r="A125" s="40" t="s">
        <v>71</v>
      </c>
      <c r="B125" s="40" t="s">
        <v>560</v>
      </c>
      <c r="C125" s="40" t="s">
        <v>561</v>
      </c>
      <c r="D125" s="40">
        <v>69.0</v>
      </c>
      <c r="E125" s="40" t="s">
        <v>562</v>
      </c>
      <c r="F125" s="40" t="s">
        <v>78</v>
      </c>
      <c r="G125" s="40" t="s">
        <v>102</v>
      </c>
      <c r="H125" s="40" t="s">
        <v>563</v>
      </c>
      <c r="I125" s="40">
        <v>40500.0</v>
      </c>
      <c r="J125" s="40" t="s">
        <v>31</v>
      </c>
      <c r="K125" s="40">
        <v>43.0</v>
      </c>
      <c r="L125" s="40"/>
      <c r="M125" s="40">
        <v>24500.0</v>
      </c>
    </row>
    <row r="126">
      <c r="A126" s="40" t="s">
        <v>71</v>
      </c>
      <c r="B126" s="40" t="s">
        <v>564</v>
      </c>
      <c r="C126" s="40" t="s">
        <v>565</v>
      </c>
      <c r="D126" s="40">
        <v>67.0</v>
      </c>
      <c r="E126" s="40" t="s">
        <v>566</v>
      </c>
      <c r="F126" s="40" t="s">
        <v>255</v>
      </c>
      <c r="G126" s="40" t="s">
        <v>236</v>
      </c>
      <c r="H126" s="40">
        <v>8500.0</v>
      </c>
      <c r="I126" s="40" t="s">
        <v>567</v>
      </c>
      <c r="J126" s="40" t="s">
        <v>32</v>
      </c>
      <c r="K126" s="40"/>
      <c r="L126" s="40"/>
      <c r="M126" s="40">
        <v>42000.0</v>
      </c>
    </row>
    <row r="127">
      <c r="A127" s="40" t="s">
        <v>71</v>
      </c>
      <c r="B127" s="40" t="s">
        <v>568</v>
      </c>
      <c r="C127" s="40" t="s">
        <v>569</v>
      </c>
      <c r="D127" s="40">
        <v>53.0</v>
      </c>
      <c r="E127" s="51">
        <v>26643.0</v>
      </c>
      <c r="F127" s="40" t="s">
        <v>246</v>
      </c>
      <c r="G127" s="40" t="s">
        <v>205</v>
      </c>
      <c r="H127" s="40">
        <v>12200.0</v>
      </c>
      <c r="I127" s="40" t="s">
        <v>542</v>
      </c>
      <c r="J127" s="40" t="s">
        <v>277</v>
      </c>
      <c r="K127" s="40">
        <v>45.0</v>
      </c>
      <c r="L127" s="40"/>
      <c r="M127" s="40">
        <v>57000.0</v>
      </c>
    </row>
    <row r="128">
      <c r="A128" s="40" t="s">
        <v>71</v>
      </c>
      <c r="B128" s="40" t="s">
        <v>570</v>
      </c>
      <c r="C128" s="40" t="s">
        <v>571</v>
      </c>
      <c r="D128" s="40">
        <v>55.0</v>
      </c>
      <c r="E128" s="40">
        <v>25880.0</v>
      </c>
      <c r="F128" s="40" t="s">
        <v>78</v>
      </c>
      <c r="G128" s="40" t="s">
        <v>102</v>
      </c>
      <c r="H128" s="40">
        <v>27500.0</v>
      </c>
      <c r="I128" s="40">
        <v>14000.0</v>
      </c>
      <c r="J128" s="40" t="s">
        <v>31</v>
      </c>
      <c r="K128" s="40">
        <v>3.0</v>
      </c>
      <c r="L128" s="40"/>
      <c r="M128" s="40">
        <v>11500.0</v>
      </c>
    </row>
    <row r="129">
      <c r="A129" s="40" t="s">
        <v>71</v>
      </c>
      <c r="B129" s="40" t="s">
        <v>471</v>
      </c>
      <c r="C129" s="40">
        <v>8900.0</v>
      </c>
      <c r="D129" s="40"/>
      <c r="E129" s="40" t="s">
        <v>572</v>
      </c>
      <c r="F129" s="40" t="s">
        <v>342</v>
      </c>
      <c r="G129" s="40" t="s">
        <v>343</v>
      </c>
      <c r="H129" s="40">
        <v>24000.0</v>
      </c>
      <c r="I129" s="40">
        <v>0.0</v>
      </c>
      <c r="J129" s="40" t="s">
        <v>32</v>
      </c>
      <c r="K129" s="40">
        <v>3.0</v>
      </c>
      <c r="L129" s="40"/>
      <c r="M129" s="40">
        <v>60000.0</v>
      </c>
    </row>
    <row r="130">
      <c r="A130" s="40" t="s">
        <v>76</v>
      </c>
      <c r="B130" s="40" t="s">
        <v>391</v>
      </c>
      <c r="C130" s="40">
        <v>8300.0</v>
      </c>
      <c r="D130" s="40">
        <v>31.0</v>
      </c>
      <c r="E130" s="40">
        <v>34828.0</v>
      </c>
      <c r="F130" s="40" t="s">
        <v>316</v>
      </c>
      <c r="G130" s="40" t="s">
        <v>107</v>
      </c>
      <c r="H130" s="40">
        <v>24.9</v>
      </c>
      <c r="I130" s="40">
        <v>72000.0</v>
      </c>
      <c r="J130" s="40" t="s">
        <v>31</v>
      </c>
      <c r="K130" s="40">
        <v>35.0</v>
      </c>
      <c r="L130" s="40"/>
      <c r="M130" s="40">
        <v>79000.0</v>
      </c>
    </row>
    <row r="131">
      <c r="A131" s="40" t="s">
        <v>71</v>
      </c>
      <c r="B131" s="40" t="s">
        <v>573</v>
      </c>
      <c r="C131" s="40">
        <v>3800.0</v>
      </c>
      <c r="D131" s="40">
        <v>41.0</v>
      </c>
      <c r="E131" s="47">
        <v>30844.0</v>
      </c>
      <c r="F131" s="40" t="s">
        <v>93</v>
      </c>
      <c r="G131" s="40" t="s">
        <v>574</v>
      </c>
      <c r="H131" s="40">
        <v>28.6</v>
      </c>
      <c r="I131" s="40" t="s">
        <v>575</v>
      </c>
      <c r="J131" s="40" t="s">
        <v>31</v>
      </c>
      <c r="K131" s="40">
        <v>39.0</v>
      </c>
      <c r="L131" s="40"/>
      <c r="M131" s="40">
        <v>22000.0</v>
      </c>
    </row>
    <row r="132">
      <c r="A132" s="40" t="s">
        <v>71</v>
      </c>
      <c r="B132" s="40" t="s">
        <v>576</v>
      </c>
      <c r="C132" s="40" t="s">
        <v>577</v>
      </c>
      <c r="D132" s="40">
        <v>56.0</v>
      </c>
      <c r="E132" s="40">
        <v>25671.0</v>
      </c>
      <c r="F132" s="40" t="s">
        <v>253</v>
      </c>
      <c r="G132" s="40" t="s">
        <v>195</v>
      </c>
      <c r="H132" s="40">
        <v>28300.0</v>
      </c>
      <c r="I132" s="40">
        <v>56000.0</v>
      </c>
      <c r="J132" s="40" t="s">
        <v>31</v>
      </c>
      <c r="K132" s="40">
        <v>6.0</v>
      </c>
      <c r="L132" s="40"/>
      <c r="M132" s="40">
        <v>77000.0</v>
      </c>
    </row>
    <row r="133">
      <c r="A133" s="40" t="s">
        <v>71</v>
      </c>
      <c r="B133" s="40" t="s">
        <v>578</v>
      </c>
      <c r="C133" s="40">
        <v>37700.0</v>
      </c>
      <c r="D133" s="40">
        <v>23.0</v>
      </c>
      <c r="E133" s="47">
        <v>37418.0</v>
      </c>
      <c r="F133" s="40" t="s">
        <v>136</v>
      </c>
      <c r="G133" s="40" t="s">
        <v>359</v>
      </c>
      <c r="H133" s="40">
        <v>2600.0</v>
      </c>
      <c r="I133" s="40">
        <v>0.0</v>
      </c>
      <c r="J133" s="40" t="s">
        <v>32</v>
      </c>
      <c r="K133" s="40">
        <v>30.0</v>
      </c>
      <c r="L133" s="40"/>
      <c r="M133" s="40">
        <v>11000.0</v>
      </c>
    </row>
    <row r="134">
      <c r="A134" s="40" t="s">
        <v>71</v>
      </c>
      <c r="B134" s="40" t="s">
        <v>579</v>
      </c>
      <c r="C134" s="40" t="s">
        <v>580</v>
      </c>
      <c r="D134" s="40">
        <v>25.0</v>
      </c>
      <c r="E134" s="40">
        <v>37137.0</v>
      </c>
      <c r="F134" s="40" t="s">
        <v>74</v>
      </c>
      <c r="G134" s="40" t="s">
        <v>75</v>
      </c>
      <c r="H134" s="40"/>
      <c r="I134" s="40">
        <v>21.0</v>
      </c>
      <c r="J134" s="40" t="s">
        <v>31</v>
      </c>
      <c r="K134" s="40">
        <v>34.0</v>
      </c>
      <c r="L134" s="40"/>
      <c r="M134" s="40">
        <v>7500.0</v>
      </c>
    </row>
    <row r="135">
      <c r="A135" s="40" t="s">
        <v>71</v>
      </c>
      <c r="B135" s="40" t="s">
        <v>581</v>
      </c>
      <c r="C135" s="40" t="s">
        <v>582</v>
      </c>
      <c r="D135" s="40">
        <v>57.0</v>
      </c>
      <c r="E135" s="40">
        <v>25199.0</v>
      </c>
      <c r="F135" s="40" t="s">
        <v>221</v>
      </c>
      <c r="G135" s="40" t="s">
        <v>302</v>
      </c>
      <c r="H135" s="40" t="s">
        <v>583</v>
      </c>
      <c r="I135" s="40">
        <v>64500.0</v>
      </c>
      <c r="J135" s="40" t="s">
        <v>31</v>
      </c>
      <c r="K135" s="40" t="s">
        <v>584</v>
      </c>
      <c r="L135" s="40"/>
      <c r="M135" s="40">
        <v>54500.0</v>
      </c>
    </row>
    <row r="136">
      <c r="A136" s="40" t="s">
        <v>362</v>
      </c>
      <c r="B136" s="40" t="s">
        <v>585</v>
      </c>
      <c r="C136" s="40" t="s">
        <v>586</v>
      </c>
      <c r="D136" s="40">
        <v>73.0</v>
      </c>
      <c r="E136" s="40" t="s">
        <v>587</v>
      </c>
      <c r="F136" s="40" t="s">
        <v>82</v>
      </c>
      <c r="G136" s="40" t="s">
        <v>83</v>
      </c>
      <c r="H136" s="40">
        <v>6100.0</v>
      </c>
      <c r="I136" s="40" t="s">
        <v>588</v>
      </c>
      <c r="J136" s="40" t="s">
        <v>31</v>
      </c>
      <c r="K136" s="40">
        <v>9.0</v>
      </c>
      <c r="L136" s="40"/>
      <c r="M136" s="40">
        <v>24500.0</v>
      </c>
    </row>
    <row r="137">
      <c r="A137" s="40" t="s">
        <v>71</v>
      </c>
      <c r="B137" s="40" t="s">
        <v>589</v>
      </c>
      <c r="C137" s="40">
        <v>37000.0</v>
      </c>
      <c r="D137" s="40">
        <v>24.0</v>
      </c>
      <c r="E137" s="47">
        <v>37317.0</v>
      </c>
      <c r="F137" s="40" t="s">
        <v>258</v>
      </c>
      <c r="G137" s="40" t="s">
        <v>307</v>
      </c>
      <c r="H137" s="40" t="s">
        <v>590</v>
      </c>
      <c r="I137" s="40">
        <v>41.0</v>
      </c>
      <c r="J137" s="40" t="s">
        <v>31</v>
      </c>
      <c r="K137" s="40">
        <v>22.0</v>
      </c>
      <c r="L137" s="40"/>
      <c r="M137" s="40">
        <v>74500.0</v>
      </c>
    </row>
    <row r="138">
      <c r="A138" s="40" t="s">
        <v>131</v>
      </c>
      <c r="B138" s="40" t="s">
        <v>591</v>
      </c>
      <c r="C138" s="40" t="s">
        <v>592</v>
      </c>
      <c r="D138" s="40">
        <v>47.0</v>
      </c>
      <c r="E138" s="40"/>
      <c r="F138" s="40" t="s">
        <v>136</v>
      </c>
      <c r="G138" s="40"/>
      <c r="H138" s="40">
        <v>11.6</v>
      </c>
      <c r="I138" s="40">
        <v>63.5</v>
      </c>
      <c r="J138" s="40">
        <v>0.0</v>
      </c>
      <c r="K138" s="40">
        <v>18.0</v>
      </c>
      <c r="L138" s="40"/>
      <c r="M138" s="40">
        <v>3000.0</v>
      </c>
    </row>
    <row r="139">
      <c r="A139" s="40" t="s">
        <v>76</v>
      </c>
      <c r="B139" s="40" t="s">
        <v>593</v>
      </c>
      <c r="C139" s="40" t="s">
        <v>594</v>
      </c>
      <c r="D139" s="40">
        <v>52.0</v>
      </c>
      <c r="E139" s="40">
        <v>27186.0</v>
      </c>
      <c r="F139" s="40" t="s">
        <v>78</v>
      </c>
      <c r="G139" s="40" t="s">
        <v>274</v>
      </c>
      <c r="H139" s="40">
        <v>6400.0</v>
      </c>
      <c r="I139" s="40">
        <v>37000.0</v>
      </c>
      <c r="J139" s="40" t="s">
        <v>31</v>
      </c>
      <c r="K139" s="40">
        <v>1.0</v>
      </c>
      <c r="L139" s="40"/>
      <c r="M139" s="40">
        <v>87000.0</v>
      </c>
    </row>
    <row r="140">
      <c r="A140" s="40" t="s">
        <v>76</v>
      </c>
      <c r="B140" s="40" t="s">
        <v>595</v>
      </c>
      <c r="C140" s="40">
        <v>26700.0</v>
      </c>
      <c r="D140" s="40">
        <v>54.0</v>
      </c>
      <c r="E140" s="40">
        <v>26453.0</v>
      </c>
      <c r="F140" s="40" t="s">
        <v>342</v>
      </c>
      <c r="G140" s="40" t="s">
        <v>343</v>
      </c>
      <c r="H140" s="40">
        <v>3900.0</v>
      </c>
      <c r="I140" s="40">
        <v>80000.0</v>
      </c>
      <c r="J140" s="40" t="s">
        <v>31</v>
      </c>
      <c r="K140" s="40" t="s">
        <v>596</v>
      </c>
      <c r="L140" s="40"/>
      <c r="M140" s="40">
        <v>30000.0</v>
      </c>
    </row>
    <row r="141">
      <c r="A141" s="40" t="s">
        <v>71</v>
      </c>
      <c r="B141" s="40" t="s">
        <v>597</v>
      </c>
      <c r="C141" s="40" t="s">
        <v>598</v>
      </c>
      <c r="D141" s="40">
        <v>45.0</v>
      </c>
      <c r="E141" s="47">
        <v>29921.0</v>
      </c>
      <c r="F141" s="40" t="s">
        <v>93</v>
      </c>
      <c r="G141" s="40" t="s">
        <v>280</v>
      </c>
      <c r="H141" s="40">
        <v>22800.0</v>
      </c>
      <c r="I141" s="40"/>
      <c r="J141" s="40" t="s">
        <v>31</v>
      </c>
      <c r="K141" s="40">
        <v>10.0</v>
      </c>
      <c r="L141" s="40"/>
      <c r="M141" s="40">
        <v>31000.0</v>
      </c>
    </row>
    <row r="142">
      <c r="A142" s="40" t="s">
        <v>71</v>
      </c>
      <c r="B142" s="40" t="s">
        <v>599</v>
      </c>
      <c r="C142" s="40">
        <v>35200.0</v>
      </c>
      <c r="D142" s="40">
        <v>65.0</v>
      </c>
      <c r="E142" s="40">
        <v>22337.0</v>
      </c>
      <c r="F142" s="40" t="s">
        <v>203</v>
      </c>
      <c r="G142" s="40" t="s">
        <v>205</v>
      </c>
      <c r="H142" s="40">
        <v>3800.0</v>
      </c>
      <c r="I142" s="40">
        <v>49500.0</v>
      </c>
      <c r="J142" s="40" t="s">
        <v>31</v>
      </c>
      <c r="K142" s="40">
        <v>16.0</v>
      </c>
      <c r="L142" s="40"/>
      <c r="M142" s="40">
        <v>15500.0</v>
      </c>
    </row>
    <row r="143">
      <c r="A143" s="40" t="s">
        <v>71</v>
      </c>
      <c r="B143" s="40" t="s">
        <v>600</v>
      </c>
      <c r="C143" s="40" t="s">
        <v>601</v>
      </c>
      <c r="D143" s="40">
        <v>66.0</v>
      </c>
      <c r="E143" s="40">
        <v>22151.0</v>
      </c>
      <c r="F143" s="40" t="s">
        <v>221</v>
      </c>
      <c r="G143" s="40" t="s">
        <v>222</v>
      </c>
      <c r="H143" s="40">
        <v>11800.0</v>
      </c>
      <c r="I143" s="40" t="s">
        <v>602</v>
      </c>
      <c r="J143" s="40" t="s">
        <v>32</v>
      </c>
      <c r="K143" s="40">
        <v>23.0</v>
      </c>
      <c r="L143" s="40"/>
      <c r="M143" s="40">
        <v>72500.0</v>
      </c>
    </row>
    <row r="144">
      <c r="A144" s="40" t="s">
        <v>76</v>
      </c>
      <c r="B144" s="40" t="s">
        <v>603</v>
      </c>
      <c r="C144" s="40" t="s">
        <v>604</v>
      </c>
      <c r="D144" s="40">
        <v>29.0</v>
      </c>
      <c r="E144" s="40">
        <v>35607.0</v>
      </c>
      <c r="F144" s="40" t="s">
        <v>234</v>
      </c>
      <c r="G144" s="40" t="s">
        <v>205</v>
      </c>
      <c r="H144" s="40">
        <v>13800.0</v>
      </c>
      <c r="I144" s="40">
        <v>41500.0</v>
      </c>
      <c r="J144" s="40" t="s">
        <v>31</v>
      </c>
      <c r="K144" s="40">
        <v>34.0</v>
      </c>
      <c r="L144" s="40"/>
      <c r="M144" s="40">
        <v>66000.0</v>
      </c>
    </row>
    <row r="145">
      <c r="A145" s="40" t="s">
        <v>71</v>
      </c>
      <c r="B145" s="40" t="s">
        <v>605</v>
      </c>
      <c r="C145" s="40" t="s">
        <v>606</v>
      </c>
      <c r="D145" s="40">
        <v>22.0</v>
      </c>
      <c r="E145" s="51">
        <v>37904.0</v>
      </c>
      <c r="F145" s="40" t="s">
        <v>78</v>
      </c>
      <c r="G145" s="40" t="s">
        <v>102</v>
      </c>
      <c r="H145" s="40">
        <v>2300.0</v>
      </c>
      <c r="I145" s="40">
        <v>0.0</v>
      </c>
      <c r="J145" s="40" t="s">
        <v>32</v>
      </c>
      <c r="K145" s="40" t="s">
        <v>607</v>
      </c>
      <c r="L145" s="40"/>
      <c r="M145" s="40">
        <v>51500.0</v>
      </c>
    </row>
    <row r="146">
      <c r="A146" s="40" t="s">
        <v>76</v>
      </c>
      <c r="B146" s="40" t="s">
        <v>608</v>
      </c>
      <c r="C146" s="40" t="s">
        <v>609</v>
      </c>
      <c r="D146" s="40">
        <v>29.0</v>
      </c>
      <c r="E146" s="40">
        <v>35598.0</v>
      </c>
      <c r="F146" s="40" t="s">
        <v>270</v>
      </c>
      <c r="G146" s="40" t="s">
        <v>270</v>
      </c>
      <c r="H146" s="40">
        <v>15500.0</v>
      </c>
      <c r="I146" s="40">
        <v>75000.0</v>
      </c>
      <c r="J146" s="40" t="s">
        <v>344</v>
      </c>
      <c r="K146" s="40">
        <v>25.0</v>
      </c>
      <c r="L146" s="40"/>
      <c r="M146" s="40">
        <v>47000.0</v>
      </c>
    </row>
    <row r="147">
      <c r="A147" s="40" t="s">
        <v>71</v>
      </c>
      <c r="B147" s="40" t="s">
        <v>611</v>
      </c>
      <c r="C147" s="40" t="s">
        <v>612</v>
      </c>
      <c r="D147" s="40">
        <v>72.0</v>
      </c>
      <c r="E147" s="40">
        <v>19839.0</v>
      </c>
      <c r="F147" s="40" t="s">
        <v>74</v>
      </c>
      <c r="G147" s="40" t="s">
        <v>613</v>
      </c>
      <c r="H147" s="40" t="s">
        <v>614</v>
      </c>
      <c r="I147" s="40">
        <v>27000.0</v>
      </c>
      <c r="J147" s="40" t="s">
        <v>31</v>
      </c>
      <c r="K147" s="40">
        <v>33.0</v>
      </c>
      <c r="L147" s="40"/>
      <c r="M147" s="40">
        <v>2000.0</v>
      </c>
    </row>
    <row r="148">
      <c r="A148" s="40" t="s">
        <v>71</v>
      </c>
      <c r="B148" s="40" t="s">
        <v>615</v>
      </c>
      <c r="C148" s="40" t="s">
        <v>616</v>
      </c>
      <c r="D148" s="40">
        <v>58.0</v>
      </c>
      <c r="E148" s="40" t="s">
        <v>617</v>
      </c>
      <c r="F148" s="40" t="s">
        <v>258</v>
      </c>
      <c r="G148" s="40" t="s">
        <v>307</v>
      </c>
      <c r="H148" s="40">
        <v>4.5</v>
      </c>
      <c r="I148" s="40"/>
      <c r="J148" s="40" t="s">
        <v>32</v>
      </c>
      <c r="K148" s="40">
        <v>31.0</v>
      </c>
      <c r="L148" s="40"/>
      <c r="M148" s="40">
        <v>97500.0</v>
      </c>
    </row>
    <row r="149">
      <c r="A149" s="40" t="s">
        <v>259</v>
      </c>
      <c r="B149" s="40" t="s">
        <v>618</v>
      </c>
      <c r="C149" s="40">
        <v>20900.0</v>
      </c>
      <c r="D149" s="40">
        <v>33.0</v>
      </c>
      <c r="E149" s="40">
        <v>34021.0</v>
      </c>
      <c r="F149" s="40" t="s">
        <v>78</v>
      </c>
      <c r="G149" s="40" t="s">
        <v>102</v>
      </c>
      <c r="H149" s="40"/>
      <c r="I149" s="40">
        <v>73500.0</v>
      </c>
      <c r="J149" s="40" t="s">
        <v>31</v>
      </c>
      <c r="K149" s="40">
        <v>33.0</v>
      </c>
      <c r="L149" s="40"/>
      <c r="M149" s="40">
        <v>95000.0</v>
      </c>
    </row>
    <row r="150">
      <c r="A150" s="40" t="s">
        <v>71</v>
      </c>
      <c r="B150" s="40" t="s">
        <v>619</v>
      </c>
      <c r="C150" s="40">
        <v>36900.0</v>
      </c>
      <c r="D150" s="40">
        <v>61.0</v>
      </c>
      <c r="E150" s="40">
        <v>23928.0</v>
      </c>
      <c r="F150" s="40" t="s">
        <v>428</v>
      </c>
      <c r="G150" s="40" t="s">
        <v>102</v>
      </c>
      <c r="H150" s="40">
        <v>22900.0</v>
      </c>
      <c r="I150" s="40">
        <v>7500.0</v>
      </c>
      <c r="J150" s="40" t="s">
        <v>31</v>
      </c>
      <c r="K150" s="40">
        <v>12.0</v>
      </c>
      <c r="L150" s="40"/>
      <c r="M150" s="40">
        <v>73000.0</v>
      </c>
    </row>
    <row r="151">
      <c r="A151" s="40" t="s">
        <v>71</v>
      </c>
      <c r="B151" s="40" t="s">
        <v>620</v>
      </c>
      <c r="C151" s="40" t="s">
        <v>621</v>
      </c>
      <c r="D151" s="40">
        <v>73.0</v>
      </c>
      <c r="E151" s="40">
        <v>19363.0</v>
      </c>
      <c r="F151" s="40" t="s">
        <v>258</v>
      </c>
      <c r="G151" s="40" t="s">
        <v>222</v>
      </c>
      <c r="H151" s="40" t="s">
        <v>178</v>
      </c>
      <c r="I151" s="40" t="s">
        <v>143</v>
      </c>
      <c r="J151" s="40" t="s">
        <v>31</v>
      </c>
      <c r="K151" s="40">
        <v>0.0</v>
      </c>
      <c r="L151" s="40"/>
      <c r="M151" s="40">
        <v>17000.0</v>
      </c>
    </row>
    <row r="152">
      <c r="A152" s="40" t="s">
        <v>622</v>
      </c>
      <c r="B152" s="40" t="s">
        <v>623</v>
      </c>
      <c r="C152" s="40">
        <v>6900.0</v>
      </c>
      <c r="D152" s="40">
        <v>51.0</v>
      </c>
      <c r="E152" s="40">
        <v>27590.0</v>
      </c>
      <c r="F152" s="40" t="s">
        <v>203</v>
      </c>
      <c r="G152" s="40" t="s">
        <v>205</v>
      </c>
      <c r="H152" s="40">
        <v>19.4</v>
      </c>
      <c r="I152" s="40">
        <v>4000.0</v>
      </c>
      <c r="J152" s="40" t="s">
        <v>31</v>
      </c>
      <c r="K152" s="40">
        <v>30.0</v>
      </c>
      <c r="L152" s="40"/>
      <c r="M152" s="40">
        <v>38500.0</v>
      </c>
    </row>
    <row r="153">
      <c r="A153" s="40" t="s">
        <v>71</v>
      </c>
      <c r="B153" s="40" t="s">
        <v>624</v>
      </c>
      <c r="C153" s="40" t="s">
        <v>625</v>
      </c>
      <c r="D153" s="40">
        <v>43.0</v>
      </c>
      <c r="E153" s="40" t="s">
        <v>627</v>
      </c>
      <c r="F153" s="40" t="s">
        <v>342</v>
      </c>
      <c r="G153" s="40" t="s">
        <v>343</v>
      </c>
      <c r="H153" s="40" t="s">
        <v>628</v>
      </c>
      <c r="I153" s="40">
        <v>62000.0</v>
      </c>
      <c r="J153" s="40" t="s">
        <v>31</v>
      </c>
      <c r="K153" s="40">
        <v>33.0</v>
      </c>
      <c r="L153" s="40"/>
      <c r="M153" s="40">
        <v>31000.0</v>
      </c>
    </row>
    <row r="154">
      <c r="A154" s="40" t="s">
        <v>76</v>
      </c>
      <c r="B154" s="40" t="s">
        <v>629</v>
      </c>
      <c r="C154" s="40" t="s">
        <v>630</v>
      </c>
      <c r="D154" s="40">
        <v>63.0</v>
      </c>
      <c r="E154" s="40">
        <v>23119.0</v>
      </c>
      <c r="F154" s="40" t="s">
        <v>74</v>
      </c>
      <c r="G154" s="40" t="s">
        <v>123</v>
      </c>
      <c r="H154" s="40">
        <v>9300.0</v>
      </c>
      <c r="I154" s="40">
        <v>48500.0</v>
      </c>
      <c r="J154" s="40" t="s">
        <v>31</v>
      </c>
      <c r="K154" s="40">
        <v>28.0</v>
      </c>
      <c r="L154" s="40"/>
      <c r="M154" s="40">
        <v>20000.0</v>
      </c>
    </row>
    <row r="155">
      <c r="A155" s="40" t="s">
        <v>76</v>
      </c>
      <c r="B155" s="40" t="s">
        <v>631</v>
      </c>
      <c r="C155" s="40" t="s">
        <v>632</v>
      </c>
      <c r="D155" s="40">
        <v>63.0</v>
      </c>
      <c r="E155" s="47">
        <v>22776.0</v>
      </c>
      <c r="F155" s="40" t="s">
        <v>136</v>
      </c>
      <c r="G155" s="40" t="s">
        <v>359</v>
      </c>
      <c r="H155" s="40">
        <v>29000.0</v>
      </c>
      <c r="I155" s="40" t="s">
        <v>633</v>
      </c>
      <c r="J155" s="40" t="s">
        <v>31</v>
      </c>
      <c r="K155" s="40">
        <v>38.0</v>
      </c>
      <c r="L155" s="40"/>
      <c r="M155" s="40">
        <v>47000.0</v>
      </c>
    </row>
    <row r="156">
      <c r="A156" s="40" t="s">
        <v>76</v>
      </c>
      <c r="B156" s="40" t="s">
        <v>634</v>
      </c>
      <c r="C156" s="40">
        <v>23700.0</v>
      </c>
      <c r="D156" s="40"/>
      <c r="E156" s="40">
        <v>19234.0</v>
      </c>
      <c r="F156" s="40" t="s">
        <v>258</v>
      </c>
      <c r="G156" s="40" t="s">
        <v>222</v>
      </c>
      <c r="H156" s="40" t="s">
        <v>448</v>
      </c>
      <c r="I156" s="40" t="s">
        <v>237</v>
      </c>
      <c r="J156" s="40" t="s">
        <v>31</v>
      </c>
      <c r="K156" s="40">
        <v>38.0</v>
      </c>
      <c r="L156" s="40"/>
      <c r="M156" s="40">
        <v>22500.0</v>
      </c>
    </row>
    <row r="157">
      <c r="A157" s="40"/>
      <c r="B157" s="40" t="s">
        <v>636</v>
      </c>
      <c r="C157" s="40" t="s">
        <v>637</v>
      </c>
      <c r="D157" s="40">
        <v>61.0</v>
      </c>
      <c r="E157" s="40">
        <v>23813.0</v>
      </c>
      <c r="F157" s="40" t="s">
        <v>136</v>
      </c>
      <c r="G157" s="40" t="s">
        <v>117</v>
      </c>
      <c r="H157" s="40" t="s">
        <v>638</v>
      </c>
      <c r="I157" s="40">
        <v>40000.0</v>
      </c>
      <c r="J157" s="40" t="s">
        <v>32</v>
      </c>
      <c r="K157" s="40" t="s">
        <v>442</v>
      </c>
      <c r="L157" s="40"/>
      <c r="M157" s="40">
        <v>16500.0</v>
      </c>
    </row>
    <row r="158">
      <c r="A158" s="40" t="s">
        <v>71</v>
      </c>
      <c r="B158" s="40" t="s">
        <v>639</v>
      </c>
      <c r="C158" s="40" t="s">
        <v>640</v>
      </c>
      <c r="D158" s="40">
        <v>53.0</v>
      </c>
      <c r="E158" s="40" t="s">
        <v>641</v>
      </c>
      <c r="F158" s="40" t="s">
        <v>342</v>
      </c>
      <c r="G158" s="40" t="s">
        <v>437</v>
      </c>
      <c r="H158" s="40" t="s">
        <v>642</v>
      </c>
      <c r="I158" s="40">
        <v>42500.0</v>
      </c>
      <c r="J158" s="40" t="s">
        <v>32</v>
      </c>
      <c r="K158" s="40">
        <v>25.0</v>
      </c>
      <c r="L158" s="40"/>
      <c r="M158" s="40">
        <v>86000.0</v>
      </c>
    </row>
    <row r="159">
      <c r="A159" s="40" t="s">
        <v>71</v>
      </c>
      <c r="B159" s="40" t="s">
        <v>643</v>
      </c>
      <c r="C159" s="40" t="s">
        <v>644</v>
      </c>
      <c r="D159" s="40">
        <v>48.0</v>
      </c>
      <c r="E159" s="40">
        <v>28673.0</v>
      </c>
      <c r="F159" s="40" t="s">
        <v>342</v>
      </c>
      <c r="G159" s="40" t="s">
        <v>437</v>
      </c>
      <c r="H159" s="40" t="s">
        <v>645</v>
      </c>
      <c r="I159" s="40">
        <v>26500.0</v>
      </c>
      <c r="J159" s="40" t="s">
        <v>110</v>
      </c>
      <c r="K159" s="40">
        <v>44.0</v>
      </c>
      <c r="L159" s="40"/>
      <c r="M159" s="40">
        <v>81000.0</v>
      </c>
    </row>
    <row r="160">
      <c r="A160" s="40" t="s">
        <v>76</v>
      </c>
      <c r="B160" s="40" t="s">
        <v>646</v>
      </c>
      <c r="C160" s="40" t="s">
        <v>647</v>
      </c>
      <c r="D160" s="40"/>
      <c r="E160" s="40">
        <v>38001.0</v>
      </c>
      <c r="F160" s="40" t="s">
        <v>246</v>
      </c>
      <c r="G160" s="40" t="s">
        <v>236</v>
      </c>
      <c r="H160" s="40">
        <v>2100.0</v>
      </c>
      <c r="I160" s="40">
        <v>79500.0</v>
      </c>
      <c r="J160" s="40" t="s">
        <v>32</v>
      </c>
      <c r="K160" s="40">
        <v>29.0</v>
      </c>
      <c r="L160" s="40"/>
      <c r="M160" s="40">
        <v>64000.0</v>
      </c>
    </row>
    <row r="161">
      <c r="A161" s="40" t="s">
        <v>76</v>
      </c>
      <c r="B161" s="40" t="s">
        <v>648</v>
      </c>
      <c r="C161" s="40" t="s">
        <v>649</v>
      </c>
      <c r="D161" s="40">
        <v>33.0</v>
      </c>
      <c r="E161" s="40" t="s">
        <v>650</v>
      </c>
      <c r="F161" s="40" t="s">
        <v>255</v>
      </c>
      <c r="G161" s="40" t="s">
        <v>205</v>
      </c>
      <c r="H161" s="40">
        <v>25700.0</v>
      </c>
      <c r="I161" s="40">
        <v>35000.0</v>
      </c>
      <c r="J161" s="40" t="s">
        <v>31</v>
      </c>
      <c r="K161" s="40">
        <v>40.0</v>
      </c>
      <c r="L161" s="40"/>
      <c r="M161" s="40">
        <v>1000.0</v>
      </c>
    </row>
    <row r="162">
      <c r="A162" s="40" t="s">
        <v>76</v>
      </c>
      <c r="B162" s="40" t="s">
        <v>651</v>
      </c>
      <c r="C162" s="40">
        <v>27300.0</v>
      </c>
      <c r="D162" s="40">
        <v>66.0</v>
      </c>
      <c r="E162" s="40">
        <v>21873.0</v>
      </c>
      <c r="F162" s="40" t="s">
        <v>246</v>
      </c>
      <c r="G162" s="40" t="s">
        <v>205</v>
      </c>
      <c r="H162" s="40" t="s">
        <v>652</v>
      </c>
      <c r="I162" s="40" t="s">
        <v>653</v>
      </c>
      <c r="J162" s="40" t="s">
        <v>31</v>
      </c>
      <c r="K162" s="40">
        <v>13.0</v>
      </c>
      <c r="L162" s="40"/>
      <c r="M162" s="40">
        <v>37000.0</v>
      </c>
    </row>
    <row r="163">
      <c r="A163" s="40" t="s">
        <v>259</v>
      </c>
      <c r="B163" s="40" t="s">
        <v>654</v>
      </c>
      <c r="C163" s="40">
        <v>33700.0</v>
      </c>
      <c r="D163" s="40">
        <v>44.0</v>
      </c>
      <c r="E163" s="40">
        <v>30167.0</v>
      </c>
      <c r="F163" s="40" t="s">
        <v>221</v>
      </c>
      <c r="G163" s="40"/>
      <c r="H163" s="40">
        <v>5500.0</v>
      </c>
      <c r="I163" s="40" t="s">
        <v>655</v>
      </c>
      <c r="J163" s="40" t="s">
        <v>31</v>
      </c>
      <c r="K163" s="40" t="s">
        <v>656</v>
      </c>
      <c r="L163" s="40"/>
      <c r="M163" s="40">
        <v>64000.0</v>
      </c>
    </row>
    <row r="164">
      <c r="A164" s="40" t="s">
        <v>76</v>
      </c>
      <c r="B164" s="40" t="s">
        <v>657</v>
      </c>
      <c r="C164" s="40" t="s">
        <v>658</v>
      </c>
      <c r="D164" s="40">
        <v>33.0</v>
      </c>
      <c r="E164" s="47">
        <v>34066.0</v>
      </c>
      <c r="F164" s="40" t="s">
        <v>203</v>
      </c>
      <c r="G164" s="40" t="s">
        <v>205</v>
      </c>
      <c r="H164" s="40">
        <v>2400.0</v>
      </c>
      <c r="I164" s="40" t="s">
        <v>659</v>
      </c>
      <c r="J164" s="40" t="s">
        <v>31</v>
      </c>
      <c r="K164" s="40">
        <v>6.0</v>
      </c>
      <c r="L164" s="40"/>
      <c r="M164" s="40">
        <v>28000.0</v>
      </c>
    </row>
    <row r="165">
      <c r="A165" s="40" t="s">
        <v>71</v>
      </c>
      <c r="B165" s="40" t="s">
        <v>660</v>
      </c>
      <c r="C165" s="40" t="s">
        <v>661</v>
      </c>
      <c r="D165" s="40">
        <v>51.0</v>
      </c>
      <c r="E165" s="40" t="s">
        <v>662</v>
      </c>
      <c r="F165" s="40" t="s">
        <v>663</v>
      </c>
      <c r="G165" s="40"/>
      <c r="H165" s="40" t="s">
        <v>664</v>
      </c>
      <c r="I165" s="40" t="s">
        <v>665</v>
      </c>
      <c r="J165" s="40" t="s">
        <v>32</v>
      </c>
      <c r="K165" s="40">
        <v>40.0</v>
      </c>
      <c r="L165" s="40"/>
      <c r="M165" s="40">
        <v>5500.0</v>
      </c>
    </row>
    <row r="166">
      <c r="A166" s="40" t="s">
        <v>622</v>
      </c>
      <c r="B166" s="40" t="s">
        <v>666</v>
      </c>
      <c r="C166" s="40"/>
      <c r="D166" s="40">
        <v>61.0</v>
      </c>
      <c r="E166" s="40">
        <v>23932.0</v>
      </c>
      <c r="F166" s="40" t="s">
        <v>193</v>
      </c>
      <c r="G166" s="40" t="s">
        <v>195</v>
      </c>
      <c r="H166" s="40">
        <v>4100.0</v>
      </c>
      <c r="I166" s="40">
        <v>78000.0</v>
      </c>
      <c r="J166" s="40" t="s">
        <v>31</v>
      </c>
      <c r="K166" s="40">
        <v>25.0</v>
      </c>
      <c r="L166" s="40"/>
      <c r="M166" s="40">
        <v>48000.0</v>
      </c>
    </row>
    <row r="167">
      <c r="A167" s="40" t="s">
        <v>71</v>
      </c>
      <c r="B167" s="40" t="s">
        <v>667</v>
      </c>
      <c r="C167" s="40">
        <v>18800.0</v>
      </c>
      <c r="D167" s="40">
        <v>43.0</v>
      </c>
      <c r="E167" s="40">
        <v>30355.0</v>
      </c>
      <c r="F167" s="40" t="s">
        <v>234</v>
      </c>
      <c r="G167" s="40" t="s">
        <v>205</v>
      </c>
      <c r="H167" s="40" t="s">
        <v>668</v>
      </c>
      <c r="I167" s="40">
        <v>31000.0</v>
      </c>
      <c r="J167" s="40" t="s">
        <v>31</v>
      </c>
      <c r="K167" s="40">
        <v>27.0</v>
      </c>
      <c r="L167" s="40"/>
      <c r="M167" s="40">
        <v>45500.0</v>
      </c>
    </row>
    <row r="168">
      <c r="A168" s="40" t="s">
        <v>71</v>
      </c>
      <c r="B168" s="40" t="s">
        <v>669</v>
      </c>
      <c r="C168" s="40" t="s">
        <v>670</v>
      </c>
      <c r="D168" s="40">
        <v>56.0</v>
      </c>
      <c r="E168" s="40" t="s">
        <v>671</v>
      </c>
      <c r="F168" s="40" t="s">
        <v>221</v>
      </c>
      <c r="G168" s="40" t="s">
        <v>222</v>
      </c>
      <c r="H168" s="40">
        <v>5400.0</v>
      </c>
      <c r="I168" s="40">
        <v>61000.0</v>
      </c>
      <c r="J168" s="40" t="s">
        <v>31</v>
      </c>
      <c r="K168" s="40">
        <v>12.0</v>
      </c>
      <c r="L168" s="40"/>
      <c r="M168" s="40">
        <v>96500.0</v>
      </c>
    </row>
    <row r="169">
      <c r="A169" s="40" t="s">
        <v>131</v>
      </c>
      <c r="B169" s="40" t="s">
        <v>673</v>
      </c>
      <c r="C169" s="40">
        <v>10200.0</v>
      </c>
      <c r="D169" s="40">
        <v>35.0</v>
      </c>
      <c r="E169" s="40" t="s">
        <v>674</v>
      </c>
      <c r="F169" s="40" t="s">
        <v>82</v>
      </c>
      <c r="G169" s="40" t="s">
        <v>107</v>
      </c>
      <c r="H169" s="40">
        <v>8.4</v>
      </c>
      <c r="I169" s="40">
        <v>62500.0</v>
      </c>
      <c r="J169" s="40" t="s">
        <v>31</v>
      </c>
      <c r="K169" s="40">
        <v>31.0</v>
      </c>
      <c r="L169" s="40"/>
      <c r="M169" s="40">
        <v>83500.0</v>
      </c>
    </row>
    <row r="170">
      <c r="A170" s="40" t="s">
        <v>76</v>
      </c>
      <c r="B170" s="40" t="s">
        <v>675</v>
      </c>
      <c r="C170" s="40" t="s">
        <v>676</v>
      </c>
      <c r="D170" s="40">
        <v>44.0</v>
      </c>
      <c r="E170" s="40">
        <v>29948.0</v>
      </c>
      <c r="F170" s="40" t="s">
        <v>270</v>
      </c>
      <c r="G170" s="40" t="s">
        <v>270</v>
      </c>
      <c r="H170" s="40"/>
      <c r="I170" s="40">
        <v>0.0</v>
      </c>
      <c r="J170" s="40" t="s">
        <v>31</v>
      </c>
      <c r="K170" s="40">
        <v>4.0</v>
      </c>
      <c r="L170" s="40"/>
      <c r="M170" s="40">
        <v>80000.0</v>
      </c>
    </row>
    <row r="171">
      <c r="A171" s="40" t="s">
        <v>76</v>
      </c>
      <c r="B171" s="40" t="s">
        <v>677</v>
      </c>
      <c r="C171" s="40" t="s">
        <v>678</v>
      </c>
      <c r="D171" s="40">
        <v>31.0</v>
      </c>
      <c r="E171" s="47">
        <v>34913.0</v>
      </c>
      <c r="F171" s="40" t="s">
        <v>221</v>
      </c>
      <c r="G171" s="40" t="s">
        <v>222</v>
      </c>
      <c r="H171" s="40">
        <v>22600.0</v>
      </c>
      <c r="I171" s="40">
        <v>58000.0</v>
      </c>
      <c r="J171" s="40" t="s">
        <v>277</v>
      </c>
      <c r="K171" s="40" t="s">
        <v>679</v>
      </c>
      <c r="L171" s="40"/>
      <c r="M171" s="40">
        <v>26500.0</v>
      </c>
    </row>
    <row r="172">
      <c r="A172" s="40" t="s">
        <v>76</v>
      </c>
      <c r="B172" s="40" t="s">
        <v>305</v>
      </c>
      <c r="C172" s="40">
        <v>4000.0</v>
      </c>
      <c r="D172" s="40">
        <v>48.0</v>
      </c>
      <c r="E172" s="40" t="s">
        <v>681</v>
      </c>
      <c r="F172" s="40" t="s">
        <v>316</v>
      </c>
      <c r="G172" s="40" t="s">
        <v>107</v>
      </c>
      <c r="H172" s="40">
        <v>24700.0</v>
      </c>
      <c r="I172" s="40">
        <v>30500.0</v>
      </c>
      <c r="J172" s="40" t="s">
        <v>31</v>
      </c>
      <c r="K172" s="40">
        <v>34.0</v>
      </c>
      <c r="L172" s="40"/>
      <c r="M172" s="40">
        <v>87500.0</v>
      </c>
    </row>
    <row r="173">
      <c r="A173" s="40" t="s">
        <v>76</v>
      </c>
      <c r="B173" s="40" t="s">
        <v>682</v>
      </c>
      <c r="C173" s="40" t="s">
        <v>683</v>
      </c>
      <c r="D173" s="40">
        <v>30.0</v>
      </c>
      <c r="E173" s="40">
        <v>35213.0</v>
      </c>
      <c r="F173" s="40" t="s">
        <v>484</v>
      </c>
      <c r="G173" s="40"/>
      <c r="H173" s="40">
        <v>3900.0</v>
      </c>
      <c r="I173" s="40">
        <v>45000.0</v>
      </c>
      <c r="J173" s="40" t="s">
        <v>31</v>
      </c>
      <c r="K173" s="40">
        <v>34.0</v>
      </c>
      <c r="L173" s="40"/>
      <c r="M173" s="40">
        <v>41500.0</v>
      </c>
    </row>
    <row r="174">
      <c r="A174" s="40" t="s">
        <v>76</v>
      </c>
      <c r="B174" s="40" t="s">
        <v>684</v>
      </c>
      <c r="C174" s="40" t="s">
        <v>685</v>
      </c>
      <c r="D174" s="40">
        <v>21.0</v>
      </c>
      <c r="E174" s="47">
        <v>38180.0</v>
      </c>
      <c r="F174" s="40" t="s">
        <v>100</v>
      </c>
      <c r="G174" s="40" t="s">
        <v>371</v>
      </c>
      <c r="H174" s="40">
        <v>4400.0</v>
      </c>
      <c r="I174" s="40">
        <v>23500.0</v>
      </c>
      <c r="J174" s="40" t="s">
        <v>32</v>
      </c>
      <c r="K174" s="40">
        <v>31.0</v>
      </c>
      <c r="L174" s="40"/>
      <c r="M174" s="40">
        <v>91000.0</v>
      </c>
    </row>
    <row r="175">
      <c r="A175" s="40" t="s">
        <v>71</v>
      </c>
      <c r="B175" s="40" t="s">
        <v>686</v>
      </c>
      <c r="C175" s="40">
        <v>30000.0</v>
      </c>
      <c r="D175" s="40">
        <v>48.0</v>
      </c>
      <c r="E175" s="40">
        <v>28509.0</v>
      </c>
      <c r="F175" s="40" t="s">
        <v>253</v>
      </c>
      <c r="G175" s="40" t="s">
        <v>230</v>
      </c>
      <c r="H175" s="40" t="s">
        <v>687</v>
      </c>
      <c r="I175" s="40" t="s">
        <v>688</v>
      </c>
      <c r="J175" s="40">
        <v>0.0</v>
      </c>
      <c r="K175" s="40">
        <v>28.0</v>
      </c>
      <c r="L175" s="40"/>
      <c r="M175" s="40">
        <v>80000.0</v>
      </c>
    </row>
    <row r="176">
      <c r="A176" s="40" t="s">
        <v>71</v>
      </c>
      <c r="B176" s="40" t="s">
        <v>689</v>
      </c>
      <c r="C176" s="40" t="s">
        <v>690</v>
      </c>
      <c r="D176" s="40"/>
      <c r="E176" s="40">
        <v>25925.0</v>
      </c>
      <c r="F176" s="40" t="s">
        <v>100</v>
      </c>
      <c r="G176" s="40" t="s">
        <v>371</v>
      </c>
      <c r="H176" s="40" t="s">
        <v>691</v>
      </c>
      <c r="I176" s="40">
        <v>61000.0</v>
      </c>
      <c r="J176" s="40" t="s">
        <v>31</v>
      </c>
      <c r="K176" s="40">
        <v>10.0</v>
      </c>
      <c r="L176" s="40"/>
      <c r="M176" s="40">
        <v>6500.0</v>
      </c>
    </row>
    <row r="177">
      <c r="A177" s="40"/>
      <c r="B177" s="40" t="s">
        <v>692</v>
      </c>
      <c r="C177" s="40" t="s">
        <v>693</v>
      </c>
      <c r="D177" s="40">
        <v>56.0</v>
      </c>
      <c r="E177" s="40" t="s">
        <v>694</v>
      </c>
      <c r="F177" s="40" t="s">
        <v>316</v>
      </c>
      <c r="G177" s="40" t="s">
        <v>107</v>
      </c>
      <c r="H177" s="40" t="s">
        <v>695</v>
      </c>
      <c r="I177" s="40" t="s">
        <v>696</v>
      </c>
      <c r="J177" s="40" t="s">
        <v>31</v>
      </c>
      <c r="K177" s="40">
        <v>38.0</v>
      </c>
      <c r="L177" s="40"/>
      <c r="M177" s="40">
        <v>88000.0</v>
      </c>
    </row>
    <row r="178">
      <c r="A178" s="40" t="s">
        <v>71</v>
      </c>
      <c r="B178" s="40" t="s">
        <v>697</v>
      </c>
      <c r="C178" s="40" t="s">
        <v>698</v>
      </c>
      <c r="D178" s="40">
        <v>62.0</v>
      </c>
      <c r="E178" s="40" t="s">
        <v>699</v>
      </c>
      <c r="F178" s="40" t="s">
        <v>82</v>
      </c>
      <c r="G178" s="40" t="s">
        <v>107</v>
      </c>
      <c r="H178" s="40">
        <v>11900.0</v>
      </c>
      <c r="I178" s="40">
        <v>58.5</v>
      </c>
      <c r="J178" s="40" t="s">
        <v>31</v>
      </c>
      <c r="K178" s="40">
        <v>37.0</v>
      </c>
      <c r="L178" s="40"/>
      <c r="M178" s="40">
        <v>48000.0</v>
      </c>
    </row>
    <row r="179">
      <c r="A179" s="40" t="s">
        <v>71</v>
      </c>
      <c r="B179" s="40" t="s">
        <v>700</v>
      </c>
      <c r="C179" s="40" t="s">
        <v>701</v>
      </c>
      <c r="D179" s="40">
        <v>26.0</v>
      </c>
      <c r="E179" s="40">
        <v>36619.0</v>
      </c>
      <c r="F179" s="40" t="s">
        <v>253</v>
      </c>
      <c r="G179" s="40" t="s">
        <v>195</v>
      </c>
      <c r="H179" s="40" t="s">
        <v>702</v>
      </c>
      <c r="I179" s="40">
        <v>42500.0</v>
      </c>
      <c r="J179" s="40" t="s">
        <v>32</v>
      </c>
      <c r="K179" s="40">
        <v>29.0</v>
      </c>
      <c r="L179" s="40"/>
      <c r="M179" s="40">
        <v>66000.0</v>
      </c>
    </row>
    <row r="180">
      <c r="A180" s="40" t="s">
        <v>71</v>
      </c>
      <c r="B180" s="40" t="s">
        <v>703</v>
      </c>
      <c r="C180" s="40" t="s">
        <v>704</v>
      </c>
      <c r="D180" s="40">
        <v>30.0</v>
      </c>
      <c r="E180" s="40" t="s">
        <v>705</v>
      </c>
      <c r="F180" s="40" t="s">
        <v>78</v>
      </c>
      <c r="G180" s="40" t="s">
        <v>218</v>
      </c>
      <c r="H180" s="40">
        <v>2600.0</v>
      </c>
      <c r="I180" s="40">
        <v>62000.0</v>
      </c>
      <c r="J180" s="40" t="s">
        <v>31</v>
      </c>
      <c r="K180" s="40">
        <v>22.0</v>
      </c>
      <c r="L180" s="40"/>
      <c r="M180" s="40">
        <v>62000.0</v>
      </c>
    </row>
    <row r="181">
      <c r="A181" s="40" t="s">
        <v>71</v>
      </c>
      <c r="B181" s="40" t="s">
        <v>706</v>
      </c>
      <c r="C181" s="40" t="s">
        <v>707</v>
      </c>
      <c r="D181" s="40"/>
      <c r="E181" s="40" t="s">
        <v>708</v>
      </c>
      <c r="F181" s="40" t="s">
        <v>100</v>
      </c>
      <c r="G181" s="40" t="s">
        <v>210</v>
      </c>
      <c r="H181" s="40">
        <v>25000.0</v>
      </c>
      <c r="I181" s="40">
        <v>0.0</v>
      </c>
      <c r="J181" s="40" t="s">
        <v>31</v>
      </c>
      <c r="K181" s="40">
        <v>3.0</v>
      </c>
      <c r="L181" s="40"/>
      <c r="M181" s="40">
        <v>2500.0</v>
      </c>
    </row>
    <row r="182">
      <c r="A182" s="40" t="s">
        <v>76</v>
      </c>
      <c r="B182" s="40" t="s">
        <v>709</v>
      </c>
      <c r="C182" s="40" t="s">
        <v>710</v>
      </c>
      <c r="D182" s="40">
        <v>65.0</v>
      </c>
      <c r="E182" s="40">
        <v>22205.0</v>
      </c>
      <c r="F182" s="40" t="s">
        <v>203</v>
      </c>
      <c r="G182" s="40" t="s">
        <v>205</v>
      </c>
      <c r="H182" s="40">
        <v>19800.0</v>
      </c>
      <c r="I182" s="40">
        <v>78.5</v>
      </c>
      <c r="J182" s="40" t="s">
        <v>31</v>
      </c>
      <c r="K182" s="40">
        <v>34.0</v>
      </c>
      <c r="L182" s="40"/>
      <c r="M182" s="40">
        <v>23000.0</v>
      </c>
    </row>
    <row r="183">
      <c r="A183" s="40" t="s">
        <v>76</v>
      </c>
      <c r="B183" s="40" t="s">
        <v>711</v>
      </c>
      <c r="C183" s="40" t="s">
        <v>712</v>
      </c>
      <c r="D183" s="40">
        <v>58.0</v>
      </c>
      <c r="E183" s="47">
        <v>24785.0</v>
      </c>
      <c r="F183" s="40" t="s">
        <v>115</v>
      </c>
      <c r="G183" s="40" t="s">
        <v>117</v>
      </c>
      <c r="H183" s="40" t="s">
        <v>713</v>
      </c>
      <c r="I183" s="40">
        <v>40000.0</v>
      </c>
      <c r="J183" s="40" t="s">
        <v>31</v>
      </c>
      <c r="K183" s="40">
        <v>16.0</v>
      </c>
      <c r="L183" s="40"/>
      <c r="M183" s="40">
        <v>98500.0</v>
      </c>
    </row>
    <row r="184">
      <c r="A184" s="40" t="s">
        <v>71</v>
      </c>
      <c r="B184" s="40" t="s">
        <v>714</v>
      </c>
      <c r="C184" s="40" t="s">
        <v>716</v>
      </c>
      <c r="D184" s="40">
        <v>45.0</v>
      </c>
      <c r="E184" s="40">
        <v>29769.0</v>
      </c>
      <c r="F184" s="40" t="s">
        <v>78</v>
      </c>
      <c r="G184" s="40" t="s">
        <v>274</v>
      </c>
      <c r="H184" s="40">
        <v>24400.0</v>
      </c>
      <c r="I184" s="40" t="s">
        <v>717</v>
      </c>
      <c r="J184" s="40" t="s">
        <v>277</v>
      </c>
      <c r="K184" s="40">
        <v>13.0</v>
      </c>
      <c r="L184" s="40"/>
      <c r="M184" s="40">
        <v>95000.0</v>
      </c>
    </row>
    <row r="185">
      <c r="A185" s="40" t="s">
        <v>71</v>
      </c>
      <c r="B185" s="40" t="s">
        <v>718</v>
      </c>
      <c r="C185" s="40">
        <v>34800.0</v>
      </c>
      <c r="D185" s="40">
        <v>26.0</v>
      </c>
      <c r="E185" s="40">
        <v>36596.0</v>
      </c>
      <c r="F185" s="40" t="s">
        <v>234</v>
      </c>
      <c r="G185" s="40" t="s">
        <v>262</v>
      </c>
      <c r="H185" s="40">
        <v>3500.0</v>
      </c>
      <c r="I185" s="40">
        <v>50000.0</v>
      </c>
      <c r="J185" s="40">
        <v>0.0</v>
      </c>
      <c r="K185" s="40">
        <v>40.0</v>
      </c>
      <c r="L185" s="40"/>
      <c r="M185" s="40">
        <v>46500.0</v>
      </c>
    </row>
    <row r="186">
      <c r="A186" s="40" t="s">
        <v>71</v>
      </c>
      <c r="B186" s="40" t="s">
        <v>719</v>
      </c>
      <c r="C186" s="40" t="s">
        <v>720</v>
      </c>
      <c r="D186" s="40">
        <v>42.0</v>
      </c>
      <c r="E186" s="40">
        <v>30898.0</v>
      </c>
      <c r="F186" s="40" t="s">
        <v>93</v>
      </c>
      <c r="G186" s="40"/>
      <c r="H186" s="40">
        <v>20800.0</v>
      </c>
      <c r="I186" s="40" t="s">
        <v>554</v>
      </c>
      <c r="J186" s="40" t="s">
        <v>31</v>
      </c>
      <c r="K186" s="40">
        <v>4.0</v>
      </c>
      <c r="L186" s="40"/>
      <c r="M186" s="40">
        <v>73500.0</v>
      </c>
    </row>
    <row r="187">
      <c r="A187" s="40" t="s">
        <v>76</v>
      </c>
      <c r="B187" s="40" t="s">
        <v>721</v>
      </c>
      <c r="C187" s="40" t="s">
        <v>722</v>
      </c>
      <c r="D187" s="40">
        <v>66.0</v>
      </c>
      <c r="E187" s="47">
        <v>22130.0</v>
      </c>
      <c r="F187" s="40" t="s">
        <v>316</v>
      </c>
      <c r="G187" s="40" t="s">
        <v>249</v>
      </c>
      <c r="H187" s="40">
        <v>3400.0</v>
      </c>
      <c r="I187" s="40">
        <v>78000.0</v>
      </c>
      <c r="J187" s="40" t="s">
        <v>31</v>
      </c>
      <c r="K187" s="40">
        <v>9.0</v>
      </c>
      <c r="L187" s="40"/>
      <c r="M187" s="40">
        <v>51500.0</v>
      </c>
    </row>
    <row r="188">
      <c r="A188" s="40" t="s">
        <v>622</v>
      </c>
      <c r="B188" s="40" t="s">
        <v>723</v>
      </c>
      <c r="C188" s="40" t="s">
        <v>724</v>
      </c>
      <c r="D188" s="40">
        <v>49.0</v>
      </c>
      <c r="E188" s="40">
        <v>28049.0</v>
      </c>
      <c r="F188" s="40" t="s">
        <v>203</v>
      </c>
      <c r="G188" s="40" t="s">
        <v>205</v>
      </c>
      <c r="H188" s="40">
        <v>25200.0</v>
      </c>
      <c r="I188" s="40">
        <v>59500.0</v>
      </c>
      <c r="J188" s="40" t="s">
        <v>31</v>
      </c>
      <c r="K188" s="40">
        <v>37.0</v>
      </c>
      <c r="L188" s="40"/>
      <c r="M188" s="40">
        <v>86500.0</v>
      </c>
    </row>
    <row r="189">
      <c r="A189" s="40" t="s">
        <v>71</v>
      </c>
      <c r="B189" s="40" t="s">
        <v>726</v>
      </c>
      <c r="C189" s="40" t="s">
        <v>727</v>
      </c>
      <c r="D189" s="40">
        <v>60.0</v>
      </c>
      <c r="E189" s="47">
        <v>23903.0</v>
      </c>
      <c r="F189" s="40" t="s">
        <v>255</v>
      </c>
      <c r="G189" s="40" t="s">
        <v>236</v>
      </c>
      <c r="H189" s="40">
        <v>22900.0</v>
      </c>
      <c r="I189" s="40">
        <v>4500.0</v>
      </c>
      <c r="J189" s="40" t="s">
        <v>32</v>
      </c>
      <c r="K189" s="40">
        <v>29.0</v>
      </c>
      <c r="L189" s="40"/>
      <c r="M189" s="40">
        <v>43500.0</v>
      </c>
    </row>
    <row r="190">
      <c r="A190" s="40" t="s">
        <v>728</v>
      </c>
      <c r="B190" s="40" t="s">
        <v>729</v>
      </c>
      <c r="C190" s="40">
        <v>17500.0</v>
      </c>
      <c r="D190" s="40">
        <v>60.0</v>
      </c>
      <c r="E190" s="40" t="s">
        <v>731</v>
      </c>
      <c r="F190" s="40" t="s">
        <v>93</v>
      </c>
      <c r="G190" s="40" t="s">
        <v>94</v>
      </c>
      <c r="H190" s="40">
        <v>10100.0</v>
      </c>
      <c r="I190" s="40">
        <v>55000.0</v>
      </c>
      <c r="J190" s="40" t="s">
        <v>31</v>
      </c>
      <c r="K190" s="40">
        <v>26.0</v>
      </c>
      <c r="L190" s="40"/>
      <c r="M190" s="40">
        <v>54000.0</v>
      </c>
    </row>
    <row r="191">
      <c r="A191" s="40" t="s">
        <v>71</v>
      </c>
      <c r="B191" s="40" t="s">
        <v>732</v>
      </c>
      <c r="C191" s="40">
        <v>16300.0</v>
      </c>
      <c r="D191" s="40" t="s">
        <v>733</v>
      </c>
      <c r="E191" s="47">
        <v>36284.0</v>
      </c>
      <c r="F191" s="40" t="s">
        <v>203</v>
      </c>
      <c r="G191" s="40" t="s">
        <v>205</v>
      </c>
      <c r="H191" s="40">
        <v>14000.0</v>
      </c>
      <c r="I191" s="40">
        <v>63500.0</v>
      </c>
      <c r="J191" s="40" t="s">
        <v>31</v>
      </c>
      <c r="K191" s="40">
        <v>24.0</v>
      </c>
      <c r="L191" s="40"/>
      <c r="M191" s="40">
        <v>87000.0</v>
      </c>
    </row>
    <row r="192">
      <c r="A192" s="40" t="s">
        <v>71</v>
      </c>
      <c r="B192" s="40" t="s">
        <v>734</v>
      </c>
      <c r="C192" s="40" t="s">
        <v>735</v>
      </c>
      <c r="D192" s="40">
        <v>53.0</v>
      </c>
      <c r="E192" s="40">
        <v>26898.0</v>
      </c>
      <c r="F192" s="40" t="s">
        <v>246</v>
      </c>
      <c r="G192" s="40" t="s">
        <v>205</v>
      </c>
      <c r="H192" s="40">
        <v>27100.0</v>
      </c>
      <c r="I192" s="40">
        <v>68000.0</v>
      </c>
      <c r="J192" s="40" t="s">
        <v>31</v>
      </c>
      <c r="K192" s="40" t="s">
        <v>736</v>
      </c>
      <c r="L192" s="40"/>
      <c r="M192" s="40">
        <v>49500.0</v>
      </c>
    </row>
    <row r="193">
      <c r="A193" s="40" t="s">
        <v>71</v>
      </c>
      <c r="B193" s="40" t="s">
        <v>737</v>
      </c>
      <c r="C193" s="40" t="s">
        <v>738</v>
      </c>
      <c r="D193" s="40">
        <v>37.0</v>
      </c>
      <c r="E193" s="40">
        <v>32414.0</v>
      </c>
      <c r="F193" s="40" t="s">
        <v>739</v>
      </c>
      <c r="G193" s="40"/>
      <c r="H193" s="40">
        <v>12800.0</v>
      </c>
      <c r="I193" s="40">
        <v>76500.0</v>
      </c>
      <c r="J193" s="40" t="s">
        <v>31</v>
      </c>
      <c r="K193" s="40" t="s">
        <v>656</v>
      </c>
      <c r="L193" s="40"/>
      <c r="M193" s="40">
        <v>18500.0</v>
      </c>
    </row>
    <row r="194">
      <c r="A194" s="40" t="s">
        <v>71</v>
      </c>
      <c r="B194" s="40" t="s">
        <v>740</v>
      </c>
      <c r="C194" s="40">
        <v>35000.0</v>
      </c>
      <c r="D194" s="40">
        <v>18.0</v>
      </c>
      <c r="E194" s="40" t="s">
        <v>741</v>
      </c>
      <c r="F194" s="40" t="s">
        <v>221</v>
      </c>
      <c r="G194" s="40" t="s">
        <v>222</v>
      </c>
      <c r="H194" s="40">
        <v>28900.0</v>
      </c>
      <c r="I194" s="40">
        <v>22000.0</v>
      </c>
      <c r="J194" s="40" t="s">
        <v>31</v>
      </c>
      <c r="K194" s="40">
        <v>23.0</v>
      </c>
      <c r="L194" s="40"/>
      <c r="M194" s="40">
        <v>90000.0</v>
      </c>
    </row>
    <row r="195">
      <c r="A195" s="40" t="s">
        <v>71</v>
      </c>
      <c r="B195" s="40" t="s">
        <v>413</v>
      </c>
      <c r="C195" s="40" t="s">
        <v>414</v>
      </c>
      <c r="D195" s="40">
        <v>27.0</v>
      </c>
      <c r="E195" s="40">
        <v>36308.0</v>
      </c>
      <c r="F195" s="40" t="s">
        <v>193</v>
      </c>
      <c r="G195" s="40" t="s">
        <v>195</v>
      </c>
      <c r="H195" s="40">
        <v>5300.0</v>
      </c>
      <c r="I195" s="40" t="s">
        <v>415</v>
      </c>
      <c r="J195" s="40" t="s">
        <v>344</v>
      </c>
      <c r="K195" s="40">
        <v>11.0</v>
      </c>
      <c r="L195" s="40"/>
      <c r="M195" s="40">
        <v>4500.0</v>
      </c>
    </row>
    <row r="196">
      <c r="A196" s="40" t="s">
        <v>71</v>
      </c>
      <c r="B196" s="40" t="s">
        <v>742</v>
      </c>
      <c r="C196" s="40" t="s">
        <v>743</v>
      </c>
      <c r="D196" s="40">
        <v>25.0</v>
      </c>
      <c r="E196" s="40">
        <v>36824.0</v>
      </c>
      <c r="F196" s="40" t="s">
        <v>203</v>
      </c>
      <c r="G196" s="40" t="s">
        <v>205</v>
      </c>
      <c r="H196" s="40">
        <v>18300.0</v>
      </c>
      <c r="I196" s="40">
        <v>41000.0</v>
      </c>
      <c r="J196" s="40" t="s">
        <v>31</v>
      </c>
      <c r="K196" s="40">
        <v>9.0</v>
      </c>
      <c r="L196" s="40"/>
      <c r="M196" s="40">
        <v>32500.0</v>
      </c>
    </row>
    <row r="197">
      <c r="A197" s="40" t="s">
        <v>71</v>
      </c>
      <c r="B197" s="40" t="s">
        <v>744</v>
      </c>
      <c r="C197" s="40" t="s">
        <v>745</v>
      </c>
      <c r="D197" s="40">
        <v>55.0</v>
      </c>
      <c r="E197" s="40">
        <v>26103.0</v>
      </c>
      <c r="F197" s="40" t="s">
        <v>78</v>
      </c>
      <c r="G197" s="40" t="s">
        <v>102</v>
      </c>
      <c r="H197" s="40">
        <v>9600.0</v>
      </c>
      <c r="I197" s="40">
        <v>43000.0</v>
      </c>
      <c r="J197" s="40" t="s">
        <v>31</v>
      </c>
      <c r="K197" s="40">
        <v>36.0</v>
      </c>
      <c r="L197" s="40"/>
      <c r="M197" s="40">
        <v>67500.0</v>
      </c>
    </row>
    <row r="198">
      <c r="A198" s="40" t="s">
        <v>71</v>
      </c>
      <c r="B198" s="40" t="s">
        <v>746</v>
      </c>
      <c r="C198" s="40" t="s">
        <v>747</v>
      </c>
      <c r="D198" s="40">
        <v>23.0</v>
      </c>
      <c r="E198" s="40">
        <v>37530.0</v>
      </c>
      <c r="F198" s="40" t="s">
        <v>114</v>
      </c>
      <c r="G198" s="40"/>
      <c r="H198" s="40">
        <v>10700.0</v>
      </c>
      <c r="I198" s="40">
        <v>15000.0</v>
      </c>
      <c r="J198" s="40" t="s">
        <v>31</v>
      </c>
      <c r="K198" s="40">
        <v>42.0</v>
      </c>
      <c r="L198" s="40"/>
      <c r="M198" s="40">
        <v>81500.0</v>
      </c>
    </row>
    <row r="199">
      <c r="A199" s="40" t="s">
        <v>76</v>
      </c>
      <c r="B199" s="40" t="s">
        <v>748</v>
      </c>
      <c r="C199" s="40" t="s">
        <v>749</v>
      </c>
      <c r="D199" s="40">
        <v>58.0</v>
      </c>
      <c r="E199" s="40">
        <v>24872.0</v>
      </c>
      <c r="F199" s="40" t="s">
        <v>100</v>
      </c>
      <c r="G199" s="40" t="s">
        <v>371</v>
      </c>
      <c r="H199" s="40" t="s">
        <v>750</v>
      </c>
      <c r="I199" s="40">
        <v>44.5</v>
      </c>
      <c r="J199" s="40" t="s">
        <v>344</v>
      </c>
      <c r="K199" s="40">
        <v>13.0</v>
      </c>
      <c r="L199" s="40"/>
      <c r="M199" s="40">
        <v>16000.0</v>
      </c>
    </row>
    <row r="200">
      <c r="A200" s="40" t="s">
        <v>71</v>
      </c>
      <c r="B200" s="40" t="s">
        <v>751</v>
      </c>
      <c r="C200" s="40"/>
      <c r="D200" s="40">
        <v>24.0</v>
      </c>
      <c r="E200" s="40"/>
      <c r="F200" s="40" t="s">
        <v>82</v>
      </c>
      <c r="G200" s="40" t="s">
        <v>83</v>
      </c>
      <c r="H200" s="40">
        <v>17000.0</v>
      </c>
      <c r="I200" s="40">
        <v>41000.0</v>
      </c>
      <c r="J200" s="40" t="s">
        <v>31</v>
      </c>
      <c r="K200" s="40">
        <v>37.0</v>
      </c>
      <c r="L200" s="40"/>
      <c r="M200" s="40">
        <v>33000.0</v>
      </c>
    </row>
    <row r="201">
      <c r="A201" s="40" t="s">
        <v>71</v>
      </c>
      <c r="B201" s="40" t="s">
        <v>752</v>
      </c>
      <c r="C201" s="40">
        <v>7700.0</v>
      </c>
      <c r="D201" s="40"/>
      <c r="E201" s="40" t="s">
        <v>753</v>
      </c>
      <c r="F201" s="40" t="s">
        <v>253</v>
      </c>
      <c r="G201" s="40" t="s">
        <v>195</v>
      </c>
      <c r="H201" s="40">
        <v>14000.0</v>
      </c>
      <c r="I201" s="40">
        <v>0.0</v>
      </c>
      <c r="J201" s="40" t="s">
        <v>277</v>
      </c>
      <c r="K201" s="40">
        <v>24.0</v>
      </c>
      <c r="L201" s="40"/>
      <c r="M201" s="40">
        <v>82000.0</v>
      </c>
    </row>
    <row r="202">
      <c r="A202" s="40" t="s">
        <v>71</v>
      </c>
      <c r="B202" s="40" t="s">
        <v>163</v>
      </c>
      <c r="C202" s="40" t="s">
        <v>754</v>
      </c>
      <c r="D202" s="40">
        <v>59.0</v>
      </c>
      <c r="E202" s="40">
        <v>24710.0</v>
      </c>
      <c r="F202" s="40" t="s">
        <v>755</v>
      </c>
      <c r="G202" s="40"/>
      <c r="H202" s="40">
        <v>19.9</v>
      </c>
      <c r="I202" s="40">
        <v>55.0</v>
      </c>
      <c r="J202" s="40" t="s">
        <v>31</v>
      </c>
      <c r="K202" s="40">
        <v>26.0</v>
      </c>
      <c r="L202" s="40"/>
      <c r="M202" s="40">
        <v>100000.0</v>
      </c>
    </row>
    <row r="203">
      <c r="A203" s="40" t="s">
        <v>76</v>
      </c>
      <c r="B203" s="40" t="s">
        <v>757</v>
      </c>
      <c r="C203" s="40" t="s">
        <v>758</v>
      </c>
      <c r="D203" s="40">
        <v>74.0</v>
      </c>
      <c r="E203" s="40">
        <v>19073.0</v>
      </c>
      <c r="F203" s="40" t="s">
        <v>93</v>
      </c>
      <c r="G203" s="40"/>
      <c r="H203" s="40">
        <v>7100.0</v>
      </c>
      <c r="I203" s="40">
        <v>61500.0</v>
      </c>
      <c r="J203" s="40" t="s">
        <v>31</v>
      </c>
      <c r="K203" s="40" t="s">
        <v>250</v>
      </c>
      <c r="L203" s="40"/>
      <c r="M203" s="40">
        <v>50500.0</v>
      </c>
    </row>
    <row r="204">
      <c r="A204" s="40" t="s">
        <v>71</v>
      </c>
      <c r="B204" s="40" t="s">
        <v>759</v>
      </c>
      <c r="C204" s="40" t="s">
        <v>760</v>
      </c>
      <c r="D204" s="40">
        <v>64.0</v>
      </c>
      <c r="E204" s="40" t="s">
        <v>761</v>
      </c>
      <c r="F204" s="40" t="s">
        <v>100</v>
      </c>
      <c r="G204" s="40" t="s">
        <v>210</v>
      </c>
      <c r="H204" s="40">
        <v>8.8</v>
      </c>
      <c r="I204" s="40" t="s">
        <v>493</v>
      </c>
      <c r="J204" s="40" t="s">
        <v>31</v>
      </c>
      <c r="K204" s="40">
        <v>28.0</v>
      </c>
      <c r="L204" s="40"/>
      <c r="M204" s="40">
        <v>5000.0</v>
      </c>
    </row>
    <row r="205">
      <c r="A205" s="40" t="s">
        <v>76</v>
      </c>
      <c r="B205" s="40" t="s">
        <v>748</v>
      </c>
      <c r="C205" s="40" t="s">
        <v>749</v>
      </c>
      <c r="D205" s="40">
        <v>58.0</v>
      </c>
      <c r="E205" s="40">
        <v>24872.0</v>
      </c>
      <c r="F205" s="40" t="s">
        <v>100</v>
      </c>
      <c r="G205" s="40" t="s">
        <v>371</v>
      </c>
      <c r="H205" s="40" t="s">
        <v>750</v>
      </c>
      <c r="I205" s="40">
        <v>44.5</v>
      </c>
      <c r="J205" s="40" t="s">
        <v>344</v>
      </c>
      <c r="K205" s="40">
        <v>13.0</v>
      </c>
      <c r="L205" s="40"/>
      <c r="M205" s="40">
        <v>98500.0</v>
      </c>
    </row>
    <row r="206">
      <c r="A206" s="40" t="s">
        <v>71</v>
      </c>
      <c r="B206" s="40" t="s">
        <v>763</v>
      </c>
      <c r="C206" s="40">
        <v>23300.0</v>
      </c>
      <c r="D206" s="40">
        <v>38.0</v>
      </c>
      <c r="E206" s="40">
        <v>32066.0</v>
      </c>
      <c r="F206" s="40" t="s">
        <v>115</v>
      </c>
      <c r="G206" s="40" t="s">
        <v>117</v>
      </c>
      <c r="H206" s="40">
        <v>9700.0</v>
      </c>
      <c r="I206" s="40">
        <v>25.0</v>
      </c>
      <c r="J206" s="40" t="s">
        <v>31</v>
      </c>
      <c r="K206" s="40">
        <v>0.0</v>
      </c>
      <c r="L206" s="40"/>
      <c r="M206" s="40">
        <v>55500.0</v>
      </c>
    </row>
    <row r="207">
      <c r="A207" s="40" t="s">
        <v>71</v>
      </c>
      <c r="B207" s="40" t="s">
        <v>764</v>
      </c>
      <c r="C207" s="40">
        <v>9600.0</v>
      </c>
      <c r="D207" s="40">
        <v>49.0</v>
      </c>
      <c r="E207" s="40">
        <v>28330.0</v>
      </c>
      <c r="F207" s="40" t="s">
        <v>136</v>
      </c>
      <c r="G207" s="40" t="s">
        <v>117</v>
      </c>
      <c r="H207" s="40">
        <v>11500.0</v>
      </c>
      <c r="I207" s="40">
        <v>44500.0</v>
      </c>
      <c r="J207" s="40" t="s">
        <v>31</v>
      </c>
      <c r="K207" s="40">
        <v>45.0</v>
      </c>
      <c r="L207" s="40"/>
      <c r="M207" s="40">
        <v>3000.0</v>
      </c>
    </row>
    <row r="208">
      <c r="A208" s="40" t="s">
        <v>71</v>
      </c>
      <c r="B208" s="40" t="s">
        <v>765</v>
      </c>
      <c r="C208" s="40">
        <v>19000.0</v>
      </c>
      <c r="D208" s="40">
        <v>42.0</v>
      </c>
      <c r="E208" s="47">
        <v>31018.0</v>
      </c>
      <c r="F208" s="40" t="s">
        <v>234</v>
      </c>
      <c r="G208" s="40" t="s">
        <v>205</v>
      </c>
      <c r="H208" s="40">
        <v>18500.0</v>
      </c>
      <c r="I208" s="40" t="s">
        <v>766</v>
      </c>
      <c r="J208" s="40" t="s">
        <v>31</v>
      </c>
      <c r="K208" s="40">
        <v>44.0</v>
      </c>
      <c r="L208" s="40"/>
      <c r="M208" s="40">
        <v>16500.0</v>
      </c>
    </row>
    <row r="209">
      <c r="A209" s="40" t="s">
        <v>71</v>
      </c>
      <c r="B209" s="40" t="s">
        <v>767</v>
      </c>
      <c r="C209" s="40" t="s">
        <v>768</v>
      </c>
      <c r="D209" s="40">
        <v>18.0</v>
      </c>
      <c r="E209" s="40">
        <v>39338.0</v>
      </c>
      <c r="F209" s="40" t="s">
        <v>246</v>
      </c>
      <c r="G209" s="40" t="s">
        <v>236</v>
      </c>
      <c r="H209" s="40">
        <v>14.1</v>
      </c>
      <c r="I209" s="40">
        <v>38500.0</v>
      </c>
      <c r="J209" s="40" t="s">
        <v>31</v>
      </c>
      <c r="K209" s="40">
        <v>7.0</v>
      </c>
      <c r="L209" s="40"/>
      <c r="M209" s="40">
        <v>11000.0</v>
      </c>
    </row>
    <row r="210">
      <c r="A210" s="40" t="s">
        <v>71</v>
      </c>
      <c r="B210" s="40" t="s">
        <v>769</v>
      </c>
      <c r="C210" s="40">
        <v>4900.0</v>
      </c>
      <c r="D210" s="40">
        <v>18.0</v>
      </c>
      <c r="E210" s="40">
        <v>39369.0</v>
      </c>
      <c r="F210" s="40" t="s">
        <v>115</v>
      </c>
      <c r="G210" s="40" t="s">
        <v>385</v>
      </c>
      <c r="H210" s="40">
        <v>18500.0</v>
      </c>
      <c r="I210" s="40">
        <v>74500.0</v>
      </c>
      <c r="J210" s="40" t="s">
        <v>32</v>
      </c>
      <c r="K210" s="40">
        <v>20.0</v>
      </c>
      <c r="L210" s="40"/>
      <c r="M210" s="40">
        <v>45500.0</v>
      </c>
    </row>
    <row r="211">
      <c r="A211" s="40" t="s">
        <v>76</v>
      </c>
      <c r="B211" s="40" t="s">
        <v>770</v>
      </c>
      <c r="C211" s="40" t="s">
        <v>771</v>
      </c>
      <c r="D211" s="40">
        <v>66.0</v>
      </c>
      <c r="E211" s="47">
        <v>21980.0</v>
      </c>
      <c r="F211" s="40" t="s">
        <v>270</v>
      </c>
      <c r="G211" s="40" t="s">
        <v>418</v>
      </c>
      <c r="H211" s="40" t="s">
        <v>772</v>
      </c>
      <c r="I211" s="40" t="s">
        <v>773</v>
      </c>
      <c r="J211" s="40" t="s">
        <v>31</v>
      </c>
      <c r="K211" s="40">
        <v>28.0</v>
      </c>
      <c r="L211" s="40"/>
      <c r="M211" s="40">
        <v>74500.0</v>
      </c>
    </row>
    <row r="212">
      <c r="A212" s="40" t="s">
        <v>71</v>
      </c>
      <c r="B212" s="40" t="s">
        <v>774</v>
      </c>
      <c r="C212" s="40" t="s">
        <v>775</v>
      </c>
      <c r="D212" s="40">
        <v>35.0</v>
      </c>
      <c r="E212" s="47">
        <v>33454.0</v>
      </c>
      <c r="F212" s="40" t="s">
        <v>74</v>
      </c>
      <c r="G212" s="40" t="s">
        <v>75</v>
      </c>
      <c r="H212" s="40" t="s">
        <v>776</v>
      </c>
      <c r="I212" s="40">
        <v>54000.0</v>
      </c>
      <c r="J212" s="40">
        <v>0.0</v>
      </c>
      <c r="K212" s="40">
        <v>44.0</v>
      </c>
      <c r="L212" s="40"/>
      <c r="M212" s="40">
        <v>18000.0</v>
      </c>
    </row>
    <row r="213">
      <c r="A213" s="40" t="s">
        <v>71</v>
      </c>
      <c r="B213" s="40" t="s">
        <v>777</v>
      </c>
      <c r="C213" s="40">
        <v>27800.0</v>
      </c>
      <c r="D213" s="40">
        <v>38.0</v>
      </c>
      <c r="E213" s="40">
        <v>32152.0</v>
      </c>
      <c r="F213" s="40" t="s">
        <v>778</v>
      </c>
      <c r="G213" s="40"/>
      <c r="H213" s="40">
        <v>2000.0</v>
      </c>
      <c r="I213" s="40">
        <v>60000.0</v>
      </c>
      <c r="J213" s="40" t="s">
        <v>31</v>
      </c>
      <c r="K213" s="40" t="s">
        <v>779</v>
      </c>
      <c r="L213" s="40"/>
      <c r="M213" s="40">
        <v>54000.0</v>
      </c>
    </row>
    <row r="214">
      <c r="A214" s="40" t="s">
        <v>76</v>
      </c>
      <c r="B214" s="40" t="s">
        <v>366</v>
      </c>
      <c r="C214" s="40" t="s">
        <v>367</v>
      </c>
      <c r="D214" s="40" t="s">
        <v>368</v>
      </c>
      <c r="E214" s="40" t="s">
        <v>369</v>
      </c>
      <c r="F214" s="40" t="s">
        <v>246</v>
      </c>
      <c r="G214" s="40" t="s">
        <v>205</v>
      </c>
      <c r="H214" s="40">
        <v>15000.0</v>
      </c>
      <c r="I214" s="40">
        <v>0.0</v>
      </c>
      <c r="J214" s="40" t="s">
        <v>31</v>
      </c>
      <c r="K214" s="40">
        <v>40.0</v>
      </c>
      <c r="L214" s="40"/>
      <c r="M214" s="40">
        <v>90500.0</v>
      </c>
    </row>
    <row r="215">
      <c r="A215" s="40" t="s">
        <v>71</v>
      </c>
      <c r="B215" s="40" t="s">
        <v>780</v>
      </c>
      <c r="C215" s="40" t="s">
        <v>781</v>
      </c>
      <c r="D215" s="40">
        <v>72.0</v>
      </c>
      <c r="E215" s="40">
        <v>19800.0</v>
      </c>
      <c r="F215" s="40" t="s">
        <v>193</v>
      </c>
      <c r="G215" s="40" t="s">
        <v>195</v>
      </c>
      <c r="H215" s="40">
        <v>24300.0</v>
      </c>
      <c r="I215" s="40">
        <v>13500.0</v>
      </c>
      <c r="J215" s="40" t="s">
        <v>31</v>
      </c>
      <c r="K215" s="40">
        <v>33.0</v>
      </c>
      <c r="L215" s="40"/>
      <c r="M215" s="40">
        <v>14500.0</v>
      </c>
    </row>
    <row r="216">
      <c r="A216" s="40" t="s">
        <v>71</v>
      </c>
      <c r="B216" s="40" t="s">
        <v>782</v>
      </c>
      <c r="C216" s="40" t="s">
        <v>783</v>
      </c>
      <c r="D216" s="40">
        <v>69.0</v>
      </c>
      <c r="E216" s="40"/>
      <c r="F216" s="40" t="s">
        <v>136</v>
      </c>
      <c r="G216" s="40" t="s">
        <v>117</v>
      </c>
      <c r="H216" s="40">
        <v>4.5</v>
      </c>
      <c r="I216" s="40">
        <v>0.0</v>
      </c>
      <c r="J216" s="40" t="s">
        <v>32</v>
      </c>
      <c r="K216" s="40">
        <v>32.0</v>
      </c>
      <c r="L216" s="40"/>
      <c r="M216" s="40">
        <v>56500.0</v>
      </c>
    </row>
    <row r="217">
      <c r="A217" s="40" t="s">
        <v>71</v>
      </c>
      <c r="B217" s="40" t="s">
        <v>785</v>
      </c>
      <c r="C217" s="40" t="s">
        <v>786</v>
      </c>
      <c r="D217" s="40">
        <v>22.0</v>
      </c>
      <c r="E217" s="40">
        <v>38079.0</v>
      </c>
      <c r="F217" s="40" t="s">
        <v>78</v>
      </c>
      <c r="G217" s="40" t="s">
        <v>102</v>
      </c>
      <c r="H217" s="40">
        <v>9200.0</v>
      </c>
      <c r="I217" s="40" t="s">
        <v>521</v>
      </c>
      <c r="J217" s="40" t="s">
        <v>31</v>
      </c>
      <c r="K217" s="40">
        <v>42.0</v>
      </c>
      <c r="L217" s="40"/>
      <c r="M217" s="40">
        <v>63500.0</v>
      </c>
    </row>
    <row r="218">
      <c r="A218" s="40" t="s">
        <v>71</v>
      </c>
      <c r="B218" s="40" t="s">
        <v>787</v>
      </c>
      <c r="C218" s="40" t="s">
        <v>788</v>
      </c>
      <c r="D218" s="40">
        <v>39.0</v>
      </c>
      <c r="E218" s="40">
        <v>31972.0</v>
      </c>
      <c r="F218" s="40" t="s">
        <v>193</v>
      </c>
      <c r="G218" s="40" t="s">
        <v>230</v>
      </c>
      <c r="H218" s="40">
        <v>8700.0</v>
      </c>
      <c r="I218" s="40" t="s">
        <v>326</v>
      </c>
      <c r="J218" s="40" t="s">
        <v>31</v>
      </c>
      <c r="K218" s="40">
        <v>16.0</v>
      </c>
      <c r="L218" s="40"/>
      <c r="M218" s="40">
        <v>93500.0</v>
      </c>
    </row>
    <row r="219">
      <c r="A219" s="40" t="s">
        <v>71</v>
      </c>
      <c r="B219" s="40" t="s">
        <v>789</v>
      </c>
      <c r="C219" s="40">
        <v>9800.0</v>
      </c>
      <c r="D219" s="40">
        <v>35.0</v>
      </c>
      <c r="E219" s="40" t="s">
        <v>790</v>
      </c>
      <c r="F219" s="40" t="s">
        <v>100</v>
      </c>
      <c r="G219" s="40" t="s">
        <v>371</v>
      </c>
      <c r="H219" s="40" t="s">
        <v>602</v>
      </c>
      <c r="I219" s="40" t="s">
        <v>791</v>
      </c>
      <c r="J219" s="40" t="s">
        <v>31</v>
      </c>
      <c r="K219" s="40">
        <v>34.0</v>
      </c>
      <c r="L219" s="40"/>
      <c r="M219" s="40">
        <v>71000.0</v>
      </c>
    </row>
    <row r="220">
      <c r="A220" s="40" t="s">
        <v>71</v>
      </c>
      <c r="B220" s="40" t="s">
        <v>792</v>
      </c>
      <c r="C220" s="40" t="s">
        <v>793</v>
      </c>
      <c r="D220" s="40">
        <v>72.0</v>
      </c>
      <c r="E220" s="40">
        <v>19623.0</v>
      </c>
      <c r="F220" s="40" t="s">
        <v>93</v>
      </c>
      <c r="G220" s="40" t="s">
        <v>94</v>
      </c>
      <c r="H220" s="40">
        <v>12.6</v>
      </c>
      <c r="I220" s="40">
        <v>5.5</v>
      </c>
      <c r="J220" s="40" t="s">
        <v>31</v>
      </c>
      <c r="K220" s="40">
        <v>35.0</v>
      </c>
      <c r="L220" s="40"/>
      <c r="M220" s="40">
        <v>21000.0</v>
      </c>
    </row>
    <row r="221">
      <c r="A221" s="40" t="s">
        <v>71</v>
      </c>
      <c r="B221" s="40" t="s">
        <v>794</v>
      </c>
      <c r="C221" s="40" t="s">
        <v>795</v>
      </c>
      <c r="D221" s="40">
        <v>24.0</v>
      </c>
      <c r="E221" s="40"/>
      <c r="F221" s="40" t="s">
        <v>203</v>
      </c>
      <c r="G221" s="40" t="s">
        <v>205</v>
      </c>
      <c r="H221" s="40">
        <v>29300.0</v>
      </c>
      <c r="I221" s="40">
        <v>32000.0</v>
      </c>
      <c r="J221" s="40" t="s">
        <v>32</v>
      </c>
      <c r="K221" s="40">
        <v>26.0</v>
      </c>
      <c r="L221" s="40"/>
      <c r="M221" s="40">
        <v>59000.0</v>
      </c>
    </row>
    <row r="222">
      <c r="A222" s="40" t="s">
        <v>76</v>
      </c>
      <c r="B222" s="40" t="s">
        <v>796</v>
      </c>
      <c r="C222" s="40" t="s">
        <v>797</v>
      </c>
      <c r="D222" s="40">
        <v>26.0</v>
      </c>
      <c r="E222" s="40">
        <v>36540.0</v>
      </c>
      <c r="F222" s="40" t="s">
        <v>82</v>
      </c>
      <c r="G222" s="40" t="s">
        <v>249</v>
      </c>
      <c r="H222" s="40">
        <v>24000.0</v>
      </c>
      <c r="I222" s="40" t="s">
        <v>798</v>
      </c>
      <c r="J222" s="40" t="s">
        <v>31</v>
      </c>
      <c r="K222" s="40">
        <v>30.0</v>
      </c>
      <c r="L222" s="40"/>
      <c r="M222" s="40">
        <v>62500.0</v>
      </c>
    </row>
    <row r="223">
      <c r="A223" s="40" t="s">
        <v>71</v>
      </c>
      <c r="B223" s="40" t="s">
        <v>799</v>
      </c>
      <c r="C223" s="40" t="s">
        <v>800</v>
      </c>
      <c r="D223" s="40">
        <v>35.0</v>
      </c>
      <c r="E223" s="40">
        <v>33309.0</v>
      </c>
      <c r="F223" s="40" t="s">
        <v>193</v>
      </c>
      <c r="G223" s="40" t="s">
        <v>195</v>
      </c>
      <c r="H223" s="40">
        <v>28500.0</v>
      </c>
      <c r="I223" s="40" t="s">
        <v>801</v>
      </c>
      <c r="J223" s="40" t="s">
        <v>31</v>
      </c>
      <c r="K223" s="40">
        <v>24.0</v>
      </c>
      <c r="L223" s="40"/>
      <c r="M223" s="40">
        <v>80500.0</v>
      </c>
    </row>
    <row r="224">
      <c r="A224" s="40" t="s">
        <v>71</v>
      </c>
      <c r="B224" s="40" t="s">
        <v>803</v>
      </c>
      <c r="C224" s="40" t="s">
        <v>804</v>
      </c>
      <c r="D224" s="40">
        <v>23.0</v>
      </c>
      <c r="E224" s="40" t="s">
        <v>805</v>
      </c>
      <c r="F224" s="40" t="s">
        <v>316</v>
      </c>
      <c r="G224" s="40" t="s">
        <v>83</v>
      </c>
      <c r="H224" s="40">
        <v>17.9</v>
      </c>
      <c r="I224" s="40">
        <v>28000.0</v>
      </c>
      <c r="J224" s="40" t="s">
        <v>31</v>
      </c>
      <c r="K224" s="40">
        <v>41.0</v>
      </c>
      <c r="L224" s="40"/>
      <c r="M224" s="40">
        <v>52500.0</v>
      </c>
    </row>
    <row r="225">
      <c r="A225" s="40" t="s">
        <v>76</v>
      </c>
      <c r="B225" s="40" t="s">
        <v>806</v>
      </c>
      <c r="C225" s="40" t="s">
        <v>807</v>
      </c>
      <c r="D225" s="40">
        <v>33.0</v>
      </c>
      <c r="E225" s="40">
        <v>33902.0</v>
      </c>
      <c r="F225" s="40" t="s">
        <v>258</v>
      </c>
      <c r="G225" s="40" t="s">
        <v>307</v>
      </c>
      <c r="H225" s="40">
        <v>12500.0</v>
      </c>
      <c r="I225" s="40">
        <v>51500.0</v>
      </c>
      <c r="J225" s="40" t="s">
        <v>32</v>
      </c>
      <c r="K225" s="40">
        <v>44.0</v>
      </c>
      <c r="L225" s="40"/>
      <c r="M225" s="40">
        <v>24000.0</v>
      </c>
    </row>
    <row r="226">
      <c r="A226" s="40" t="s">
        <v>71</v>
      </c>
      <c r="B226" s="40" t="s">
        <v>792</v>
      </c>
      <c r="C226" s="40" t="s">
        <v>808</v>
      </c>
      <c r="D226" s="40">
        <v>63.0</v>
      </c>
      <c r="E226" s="47">
        <v>22959.0</v>
      </c>
      <c r="F226" s="40" t="s">
        <v>270</v>
      </c>
      <c r="G226" s="40" t="s">
        <v>270</v>
      </c>
      <c r="H226" s="40">
        <v>5500.0</v>
      </c>
      <c r="I226" s="40" t="s">
        <v>809</v>
      </c>
      <c r="J226" s="40" t="s">
        <v>31</v>
      </c>
      <c r="K226" s="40">
        <v>2.0</v>
      </c>
      <c r="L226" s="40"/>
      <c r="M226" s="40">
        <v>54500.0</v>
      </c>
    </row>
    <row r="227">
      <c r="A227" s="40" t="s">
        <v>76</v>
      </c>
      <c r="B227" s="40" t="s">
        <v>810</v>
      </c>
      <c r="C227" s="40" t="s">
        <v>811</v>
      </c>
      <c r="D227" s="40">
        <v>31.0</v>
      </c>
      <c r="E227" s="47">
        <v>34826.0</v>
      </c>
      <c r="F227" s="40" t="s">
        <v>82</v>
      </c>
      <c r="G227" s="40" t="s">
        <v>107</v>
      </c>
      <c r="H227" s="40">
        <v>16.4</v>
      </c>
      <c r="I227" s="40" t="s">
        <v>812</v>
      </c>
      <c r="J227" s="40" t="s">
        <v>110</v>
      </c>
      <c r="K227" s="40">
        <v>6.0</v>
      </c>
      <c r="L227" s="40"/>
      <c r="M227" s="40">
        <v>49500.0</v>
      </c>
    </row>
    <row r="228">
      <c r="A228" s="40" t="s">
        <v>131</v>
      </c>
      <c r="B228" s="40" t="s">
        <v>813</v>
      </c>
      <c r="C228" s="40" t="s">
        <v>814</v>
      </c>
      <c r="D228" s="40">
        <v>71.0</v>
      </c>
      <c r="E228" s="47">
        <v>19793.0</v>
      </c>
      <c r="F228" s="40" t="s">
        <v>342</v>
      </c>
      <c r="G228" s="40" t="s">
        <v>343</v>
      </c>
      <c r="H228" s="40">
        <v>15100.0</v>
      </c>
      <c r="I228" s="40" t="s">
        <v>109</v>
      </c>
      <c r="J228" s="40" t="s">
        <v>31</v>
      </c>
      <c r="K228" s="40">
        <v>42.0</v>
      </c>
      <c r="L228" s="40"/>
      <c r="M228" s="40">
        <v>77000.0</v>
      </c>
    </row>
    <row r="229">
      <c r="A229" s="40" t="s">
        <v>71</v>
      </c>
      <c r="B229" s="40" t="s">
        <v>815</v>
      </c>
      <c r="C229" s="40">
        <v>21900.0</v>
      </c>
      <c r="D229" s="40">
        <v>67.0</v>
      </c>
      <c r="E229" s="40">
        <v>21619.0</v>
      </c>
      <c r="F229" s="40" t="s">
        <v>78</v>
      </c>
      <c r="G229" s="40" t="s">
        <v>218</v>
      </c>
      <c r="H229" s="40">
        <v>20200.0</v>
      </c>
      <c r="I229" s="40">
        <v>6500.0</v>
      </c>
      <c r="J229" s="40" t="s">
        <v>31</v>
      </c>
      <c r="K229" s="40">
        <v>1.0</v>
      </c>
      <c r="L229" s="40"/>
      <c r="M229" s="40">
        <v>98500.0</v>
      </c>
    </row>
    <row r="230">
      <c r="A230" s="40" t="s">
        <v>71</v>
      </c>
      <c r="B230" s="40" t="s">
        <v>816</v>
      </c>
      <c r="C230" s="40" t="s">
        <v>817</v>
      </c>
      <c r="D230" s="40">
        <v>27.0</v>
      </c>
      <c r="E230" s="47">
        <v>36377.0</v>
      </c>
      <c r="F230" s="40" t="s">
        <v>255</v>
      </c>
      <c r="G230" s="40" t="s">
        <v>205</v>
      </c>
      <c r="H230" s="40">
        <v>29700.0</v>
      </c>
      <c r="I230" s="40">
        <v>12000.0</v>
      </c>
      <c r="J230" s="40" t="s">
        <v>31</v>
      </c>
      <c r="K230" s="40">
        <v>37.0</v>
      </c>
      <c r="L230" s="40"/>
      <c r="M230" s="40">
        <v>49000.0</v>
      </c>
    </row>
    <row r="231">
      <c r="A231" s="40" t="s">
        <v>71</v>
      </c>
      <c r="B231" s="40" t="s">
        <v>818</v>
      </c>
      <c r="C231" s="40" t="s">
        <v>819</v>
      </c>
      <c r="D231" s="40">
        <v>25.0</v>
      </c>
      <c r="E231" s="40" t="s">
        <v>820</v>
      </c>
      <c r="F231" s="40" t="s">
        <v>246</v>
      </c>
      <c r="G231" s="40" t="s">
        <v>205</v>
      </c>
      <c r="H231" s="40">
        <v>25400.0</v>
      </c>
      <c r="I231" s="40">
        <v>4000.0</v>
      </c>
      <c r="J231" s="40" t="s">
        <v>31</v>
      </c>
      <c r="K231" s="40">
        <v>4.0</v>
      </c>
      <c r="L231" s="40"/>
      <c r="M231" s="40">
        <v>8500.0</v>
      </c>
    </row>
    <row r="232">
      <c r="A232" s="40" t="s">
        <v>71</v>
      </c>
      <c r="B232" s="40" t="s">
        <v>821</v>
      </c>
      <c r="C232" s="40" t="s">
        <v>822</v>
      </c>
      <c r="D232" s="40">
        <v>70.0</v>
      </c>
      <c r="E232" s="40">
        <v>20533.0</v>
      </c>
      <c r="F232" s="40" t="s">
        <v>342</v>
      </c>
      <c r="G232" s="40" t="s">
        <v>437</v>
      </c>
      <c r="H232" s="40">
        <v>9100.0</v>
      </c>
      <c r="I232" s="40">
        <v>40500.0</v>
      </c>
      <c r="J232" s="40" t="s">
        <v>31</v>
      </c>
      <c r="K232" s="40">
        <v>35.0</v>
      </c>
      <c r="L232" s="40"/>
      <c r="M232" s="40">
        <v>53000.0</v>
      </c>
    </row>
    <row r="233">
      <c r="A233" s="40" t="s">
        <v>76</v>
      </c>
      <c r="B233" s="40" t="s">
        <v>823</v>
      </c>
      <c r="C233" s="40" t="s">
        <v>824</v>
      </c>
      <c r="D233" s="40">
        <v>57.0</v>
      </c>
      <c r="E233" s="47">
        <v>25208.0</v>
      </c>
      <c r="F233" s="40" t="s">
        <v>234</v>
      </c>
      <c r="G233" s="40" t="s">
        <v>236</v>
      </c>
      <c r="H233" s="40">
        <v>9500.0</v>
      </c>
      <c r="I233" s="40">
        <v>58000.0</v>
      </c>
      <c r="J233" s="40" t="s">
        <v>277</v>
      </c>
      <c r="K233" s="40">
        <v>23.0</v>
      </c>
      <c r="L233" s="40"/>
      <c r="M233" s="40">
        <v>81500.0</v>
      </c>
    </row>
    <row r="234">
      <c r="A234" s="40" t="s">
        <v>76</v>
      </c>
      <c r="B234" s="40" t="s">
        <v>347</v>
      </c>
      <c r="C234" s="40" t="s">
        <v>825</v>
      </c>
      <c r="D234" s="40">
        <v>58.0</v>
      </c>
      <c r="E234" s="40">
        <v>25054.0</v>
      </c>
      <c r="F234" s="40" t="s">
        <v>316</v>
      </c>
      <c r="G234" s="40" t="s">
        <v>249</v>
      </c>
      <c r="H234" s="40" t="s">
        <v>826</v>
      </c>
      <c r="I234" s="40" t="s">
        <v>827</v>
      </c>
      <c r="J234" s="40" t="s">
        <v>32</v>
      </c>
      <c r="K234" s="40">
        <v>9.0</v>
      </c>
      <c r="L234" s="40"/>
      <c r="M234" s="40">
        <v>49000.0</v>
      </c>
    </row>
    <row r="235">
      <c r="A235" s="40" t="s">
        <v>76</v>
      </c>
      <c r="B235" s="40" t="s">
        <v>828</v>
      </c>
      <c r="C235" s="40">
        <v>6400.0</v>
      </c>
      <c r="D235" s="40">
        <v>57.0</v>
      </c>
      <c r="E235" s="40">
        <v>25206.0</v>
      </c>
      <c r="F235" s="40" t="s">
        <v>193</v>
      </c>
      <c r="G235" s="40" t="s">
        <v>503</v>
      </c>
      <c r="H235" s="40">
        <v>3400.0</v>
      </c>
      <c r="I235" s="40">
        <v>0.0</v>
      </c>
      <c r="J235" s="40" t="s">
        <v>31</v>
      </c>
      <c r="K235" s="40">
        <v>20.0</v>
      </c>
      <c r="L235" s="40"/>
      <c r="M235" s="40">
        <v>19500.0</v>
      </c>
    </row>
    <row r="236">
      <c r="A236" s="40" t="s">
        <v>71</v>
      </c>
      <c r="B236" s="40" t="s">
        <v>829</v>
      </c>
      <c r="C236" s="40" t="s">
        <v>830</v>
      </c>
      <c r="D236" s="40">
        <v>65.0</v>
      </c>
      <c r="E236" s="40" t="s">
        <v>831</v>
      </c>
      <c r="F236" s="40" t="s">
        <v>258</v>
      </c>
      <c r="G236" s="40" t="s">
        <v>307</v>
      </c>
      <c r="H236" s="40">
        <v>18.0</v>
      </c>
      <c r="I236" s="40">
        <v>0.0</v>
      </c>
      <c r="J236" s="40" t="s">
        <v>31</v>
      </c>
      <c r="K236" s="40">
        <v>27.0</v>
      </c>
      <c r="L236" s="40"/>
      <c r="M236" s="40">
        <v>38500.0</v>
      </c>
    </row>
    <row r="237">
      <c r="A237" s="40" t="s">
        <v>71</v>
      </c>
      <c r="B237" s="40" t="s">
        <v>832</v>
      </c>
      <c r="C237" s="40" t="s">
        <v>833</v>
      </c>
      <c r="D237" s="40">
        <v>39.0</v>
      </c>
      <c r="E237" s="47">
        <v>31930.0</v>
      </c>
      <c r="F237" s="40" t="s">
        <v>234</v>
      </c>
      <c r="G237" s="40" t="s">
        <v>205</v>
      </c>
      <c r="H237" s="40" t="s">
        <v>835</v>
      </c>
      <c r="I237" s="40" t="s">
        <v>633</v>
      </c>
      <c r="J237" s="40" t="s">
        <v>31</v>
      </c>
      <c r="K237" s="40"/>
      <c r="L237" s="40"/>
      <c r="M237" s="40">
        <v>3000.0</v>
      </c>
    </row>
    <row r="238">
      <c r="A238" s="40" t="s">
        <v>71</v>
      </c>
      <c r="B238" s="40" t="s">
        <v>836</v>
      </c>
      <c r="C238" s="40">
        <v>30500.0</v>
      </c>
      <c r="D238" s="40">
        <v>62.0</v>
      </c>
      <c r="E238" s="40">
        <v>23278.0</v>
      </c>
      <c r="F238" s="40" t="s">
        <v>203</v>
      </c>
      <c r="G238" s="40" t="s">
        <v>205</v>
      </c>
      <c r="H238" s="40">
        <v>17000.0</v>
      </c>
      <c r="I238" s="40">
        <v>64000.0</v>
      </c>
      <c r="J238" s="40" t="s">
        <v>32</v>
      </c>
      <c r="K238" s="40">
        <v>21.0</v>
      </c>
      <c r="L238" s="40"/>
      <c r="M238" s="40">
        <v>19000.0</v>
      </c>
    </row>
    <row r="239">
      <c r="A239" s="40" t="s">
        <v>76</v>
      </c>
      <c r="B239" s="40" t="s">
        <v>837</v>
      </c>
      <c r="C239" s="40" t="s">
        <v>838</v>
      </c>
      <c r="D239" s="40">
        <v>69.0</v>
      </c>
      <c r="E239" s="40">
        <v>20785.0</v>
      </c>
      <c r="F239" s="40" t="s">
        <v>203</v>
      </c>
      <c r="G239" s="40" t="s">
        <v>236</v>
      </c>
      <c r="H239" s="40">
        <v>16000.0</v>
      </c>
      <c r="I239" s="40" t="s">
        <v>231</v>
      </c>
      <c r="J239" s="40" t="s">
        <v>31</v>
      </c>
      <c r="K239" s="40">
        <v>29.0</v>
      </c>
      <c r="L239" s="40"/>
      <c r="M239" s="40">
        <v>74500.0</v>
      </c>
    </row>
    <row r="240">
      <c r="A240" s="40" t="s">
        <v>76</v>
      </c>
      <c r="B240" s="40" t="s">
        <v>839</v>
      </c>
      <c r="C240" s="40">
        <v>27100.0</v>
      </c>
      <c r="D240" s="40">
        <v>55.0</v>
      </c>
      <c r="E240" s="40" t="s">
        <v>840</v>
      </c>
      <c r="F240" s="40" t="s">
        <v>115</v>
      </c>
      <c r="G240" s="40" t="s">
        <v>117</v>
      </c>
      <c r="H240" s="40">
        <v>6800.0</v>
      </c>
      <c r="I240" s="40">
        <v>12000.0</v>
      </c>
      <c r="J240" s="40" t="s">
        <v>31</v>
      </c>
      <c r="K240" s="40">
        <v>6.0</v>
      </c>
      <c r="L240" s="40"/>
      <c r="M240" s="40">
        <v>11000.0</v>
      </c>
    </row>
    <row r="241">
      <c r="A241" s="40" t="s">
        <v>71</v>
      </c>
      <c r="B241" s="40" t="s">
        <v>841</v>
      </c>
      <c r="C241" s="40" t="s">
        <v>842</v>
      </c>
      <c r="D241" s="40">
        <v>25.0</v>
      </c>
      <c r="E241" s="40" t="s">
        <v>843</v>
      </c>
      <c r="F241" s="40" t="s">
        <v>428</v>
      </c>
      <c r="G241" s="40" t="s">
        <v>102</v>
      </c>
      <c r="H241" s="40">
        <v>28200.0</v>
      </c>
      <c r="I241" s="40">
        <v>0.0</v>
      </c>
      <c r="J241" s="40" t="s">
        <v>31</v>
      </c>
      <c r="K241" s="40">
        <v>29.0</v>
      </c>
      <c r="L241" s="40"/>
      <c r="M241" s="40">
        <v>92500.0</v>
      </c>
    </row>
    <row r="242">
      <c r="A242" s="40" t="s">
        <v>76</v>
      </c>
      <c r="B242" s="40" t="s">
        <v>517</v>
      </c>
      <c r="C242" s="40">
        <v>34900.0</v>
      </c>
      <c r="D242" s="40" t="s">
        <v>844</v>
      </c>
      <c r="E242" s="40">
        <v>34387.0</v>
      </c>
      <c r="F242" s="40" t="s">
        <v>203</v>
      </c>
      <c r="G242" s="40" t="s">
        <v>205</v>
      </c>
      <c r="H242" s="40">
        <v>20500.0</v>
      </c>
      <c r="I242" s="40">
        <v>0.0</v>
      </c>
      <c r="J242" s="40" t="s">
        <v>31</v>
      </c>
      <c r="K242" s="40" t="s">
        <v>596</v>
      </c>
      <c r="L242" s="40"/>
      <c r="M242" s="40">
        <v>54500.0</v>
      </c>
    </row>
    <row r="243">
      <c r="A243" s="40" t="s">
        <v>71</v>
      </c>
      <c r="B243" s="40" t="s">
        <v>845</v>
      </c>
      <c r="C243" s="40" t="s">
        <v>846</v>
      </c>
      <c r="D243" s="40">
        <v>53.0</v>
      </c>
      <c r="E243" s="40">
        <v>26620.0</v>
      </c>
      <c r="F243" s="40" t="s">
        <v>74</v>
      </c>
      <c r="G243" s="40" t="s">
        <v>123</v>
      </c>
      <c r="H243" s="40" t="s">
        <v>847</v>
      </c>
      <c r="I243" s="40">
        <v>79500.0</v>
      </c>
      <c r="J243" s="40" t="s">
        <v>31</v>
      </c>
      <c r="K243" s="40" t="s">
        <v>779</v>
      </c>
      <c r="L243" s="40"/>
      <c r="M243" s="40">
        <v>19000.0</v>
      </c>
    </row>
    <row r="244">
      <c r="A244" s="40" t="s">
        <v>71</v>
      </c>
      <c r="B244" s="40" t="s">
        <v>848</v>
      </c>
      <c r="C244" s="40" t="s">
        <v>849</v>
      </c>
      <c r="D244" s="40">
        <v>69.0</v>
      </c>
      <c r="E244" s="47">
        <v>20884.0</v>
      </c>
      <c r="F244" s="40" t="s">
        <v>739</v>
      </c>
      <c r="G244" s="40"/>
      <c r="H244" s="40">
        <v>13800.0</v>
      </c>
      <c r="I244" s="40">
        <v>62000.0</v>
      </c>
      <c r="J244" s="40" t="s">
        <v>31</v>
      </c>
      <c r="K244" s="40">
        <v>31.0</v>
      </c>
      <c r="L244" s="40"/>
      <c r="M244" s="40">
        <v>60500.0</v>
      </c>
    </row>
    <row r="245">
      <c r="A245" s="40" t="s">
        <v>71</v>
      </c>
      <c r="B245" s="40" t="s">
        <v>850</v>
      </c>
      <c r="C245" s="40" t="s">
        <v>851</v>
      </c>
      <c r="D245" s="40">
        <v>27.0</v>
      </c>
      <c r="E245" s="40">
        <v>36316.0</v>
      </c>
      <c r="F245" s="40" t="s">
        <v>221</v>
      </c>
      <c r="G245" s="40" t="s">
        <v>307</v>
      </c>
      <c r="H245" s="40">
        <v>10.7</v>
      </c>
      <c r="I245" s="40" t="s">
        <v>853</v>
      </c>
      <c r="J245" s="40" t="s">
        <v>31</v>
      </c>
      <c r="K245" s="40">
        <v>44.0</v>
      </c>
      <c r="L245" s="40"/>
      <c r="M245" s="40">
        <v>48000.0</v>
      </c>
    </row>
    <row r="246">
      <c r="A246" s="40" t="s">
        <v>71</v>
      </c>
      <c r="B246" s="40" t="s">
        <v>854</v>
      </c>
      <c r="C246" s="40">
        <v>19300.0</v>
      </c>
      <c r="D246" s="40">
        <v>74.0</v>
      </c>
      <c r="E246" s="40" t="s">
        <v>855</v>
      </c>
      <c r="F246" s="40" t="s">
        <v>316</v>
      </c>
      <c r="G246" s="40" t="s">
        <v>463</v>
      </c>
      <c r="H246" s="40">
        <v>20700.0</v>
      </c>
      <c r="I246" s="40" t="s">
        <v>856</v>
      </c>
      <c r="J246" s="40" t="s">
        <v>31</v>
      </c>
      <c r="K246" s="40">
        <v>35.0</v>
      </c>
      <c r="L246" s="40"/>
      <c r="M246" s="40">
        <v>65000.0</v>
      </c>
    </row>
    <row r="247">
      <c r="A247" s="40" t="s">
        <v>362</v>
      </c>
      <c r="B247" s="40" t="s">
        <v>857</v>
      </c>
      <c r="C247" s="40" t="s">
        <v>858</v>
      </c>
      <c r="D247" s="40"/>
      <c r="E247" s="40">
        <v>39230.0</v>
      </c>
      <c r="F247" s="40" t="s">
        <v>258</v>
      </c>
      <c r="G247" s="40" t="s">
        <v>222</v>
      </c>
      <c r="H247" s="40" t="s">
        <v>859</v>
      </c>
      <c r="I247" s="40">
        <v>49.5</v>
      </c>
      <c r="J247" s="40" t="s">
        <v>31</v>
      </c>
      <c r="K247" s="40">
        <v>25.0</v>
      </c>
      <c r="L247" s="40"/>
      <c r="M247" s="40">
        <v>46500.0</v>
      </c>
    </row>
    <row r="248">
      <c r="A248" s="40" t="s">
        <v>76</v>
      </c>
      <c r="B248" s="40" t="s">
        <v>796</v>
      </c>
      <c r="C248" s="40" t="s">
        <v>797</v>
      </c>
      <c r="D248" s="40">
        <v>26.0</v>
      </c>
      <c r="E248" s="40">
        <v>36540.0</v>
      </c>
      <c r="F248" s="40" t="s">
        <v>82</v>
      </c>
      <c r="G248" s="40" t="s">
        <v>249</v>
      </c>
      <c r="H248" s="40">
        <v>24000.0</v>
      </c>
      <c r="I248" s="40" t="s">
        <v>798</v>
      </c>
      <c r="J248" s="40" t="s">
        <v>31</v>
      </c>
      <c r="K248" s="40">
        <v>30.0</v>
      </c>
      <c r="L248" s="40"/>
      <c r="M248" s="40">
        <v>11500.0</v>
      </c>
    </row>
    <row r="249">
      <c r="A249" s="40" t="s">
        <v>71</v>
      </c>
      <c r="B249" s="40" t="s">
        <v>860</v>
      </c>
      <c r="C249" s="40" t="s">
        <v>861</v>
      </c>
      <c r="D249" s="40">
        <v>47.0</v>
      </c>
      <c r="E249" s="40" t="s">
        <v>862</v>
      </c>
      <c r="F249" s="40" t="s">
        <v>270</v>
      </c>
      <c r="G249" s="40" t="s">
        <v>270</v>
      </c>
      <c r="H249" s="40" t="s">
        <v>863</v>
      </c>
      <c r="I249" s="40">
        <v>62.0</v>
      </c>
      <c r="J249" s="40" t="s">
        <v>32</v>
      </c>
      <c r="K249" s="40">
        <v>37.0</v>
      </c>
      <c r="L249" s="40"/>
      <c r="M249" s="40">
        <v>92500.0</v>
      </c>
    </row>
    <row r="250">
      <c r="A250" s="40" t="s">
        <v>71</v>
      </c>
      <c r="B250" s="40" t="s">
        <v>864</v>
      </c>
      <c r="C250" s="40" t="s">
        <v>865</v>
      </c>
      <c r="D250" s="40">
        <v>34.0</v>
      </c>
      <c r="E250" s="40">
        <v>33746.0</v>
      </c>
      <c r="F250" s="40" t="s">
        <v>270</v>
      </c>
      <c r="G250" s="40" t="s">
        <v>270</v>
      </c>
      <c r="H250" s="40">
        <v>28900.0</v>
      </c>
      <c r="I250" s="40">
        <v>37000.0</v>
      </c>
      <c r="J250" s="40" t="s">
        <v>31</v>
      </c>
      <c r="K250" s="40">
        <v>21.0</v>
      </c>
      <c r="L250" s="40"/>
      <c r="M250" s="40">
        <v>97500.0</v>
      </c>
    </row>
    <row r="251">
      <c r="A251" s="40" t="s">
        <v>71</v>
      </c>
      <c r="B251" s="40" t="s">
        <v>866</v>
      </c>
      <c r="C251" s="40" t="s">
        <v>867</v>
      </c>
      <c r="D251" s="40">
        <v>30.0</v>
      </c>
      <c r="E251" s="40" t="s">
        <v>868</v>
      </c>
      <c r="F251" s="40" t="s">
        <v>234</v>
      </c>
      <c r="G251" s="40" t="s">
        <v>205</v>
      </c>
      <c r="H251" s="40" t="s">
        <v>869</v>
      </c>
      <c r="I251" s="40">
        <v>42000.0</v>
      </c>
      <c r="J251" s="40"/>
      <c r="K251" s="40">
        <v>29.0</v>
      </c>
      <c r="L251" s="40"/>
      <c r="M251" s="40">
        <v>7000.0</v>
      </c>
    </row>
    <row r="252">
      <c r="A252" s="40" t="s">
        <v>76</v>
      </c>
      <c r="B252" s="40" t="s">
        <v>870</v>
      </c>
      <c r="C252" s="40" t="s">
        <v>871</v>
      </c>
      <c r="D252" s="40">
        <v>67.0</v>
      </c>
      <c r="E252" s="47">
        <v>21645.0</v>
      </c>
      <c r="F252" s="40" t="s">
        <v>342</v>
      </c>
      <c r="G252" s="40" t="s">
        <v>437</v>
      </c>
      <c r="H252" s="40">
        <v>15200.0</v>
      </c>
      <c r="I252" s="40">
        <v>67500.0</v>
      </c>
      <c r="J252" s="40" t="s">
        <v>31</v>
      </c>
      <c r="K252" s="40">
        <v>12.0</v>
      </c>
      <c r="L252" s="40"/>
      <c r="M252" s="40">
        <v>97500.0</v>
      </c>
    </row>
    <row r="253">
      <c r="A253" s="40" t="s">
        <v>71</v>
      </c>
      <c r="B253" s="40" t="s">
        <v>872</v>
      </c>
      <c r="C253" s="40" t="s">
        <v>873</v>
      </c>
      <c r="D253" s="40">
        <v>59.0</v>
      </c>
      <c r="E253" s="40" t="s">
        <v>874</v>
      </c>
      <c r="F253" s="40" t="s">
        <v>342</v>
      </c>
      <c r="G253" s="40"/>
      <c r="H253" s="40">
        <v>6600.0</v>
      </c>
      <c r="I253" s="40">
        <v>50000.0</v>
      </c>
      <c r="J253" s="40" t="s">
        <v>32</v>
      </c>
      <c r="K253" s="40">
        <v>9.0</v>
      </c>
      <c r="L253" s="40"/>
      <c r="M253" s="40">
        <v>25000.0</v>
      </c>
    </row>
    <row r="254">
      <c r="A254" s="40" t="s">
        <v>76</v>
      </c>
      <c r="B254" s="40" t="s">
        <v>875</v>
      </c>
      <c r="C254" s="40">
        <v>24300.0</v>
      </c>
      <c r="D254" s="40">
        <v>25.0</v>
      </c>
      <c r="E254" s="40">
        <v>37131.0</v>
      </c>
      <c r="F254" s="40" t="s">
        <v>93</v>
      </c>
      <c r="G254" s="40" t="s">
        <v>94</v>
      </c>
      <c r="H254" s="40" t="s">
        <v>876</v>
      </c>
      <c r="I254" s="40" t="s">
        <v>109</v>
      </c>
      <c r="J254" s="40">
        <v>0.0</v>
      </c>
      <c r="K254" s="40">
        <v>0.0</v>
      </c>
      <c r="L254" s="40"/>
      <c r="M254" s="40">
        <v>55000.0</v>
      </c>
    </row>
    <row r="255">
      <c r="A255" s="40" t="s">
        <v>71</v>
      </c>
      <c r="B255" s="40" t="s">
        <v>877</v>
      </c>
      <c r="C255" s="40" t="s">
        <v>878</v>
      </c>
      <c r="D255" s="40"/>
      <c r="E255" s="40">
        <v>32796.0</v>
      </c>
      <c r="F255" s="40" t="s">
        <v>82</v>
      </c>
      <c r="G255" s="40" t="s">
        <v>107</v>
      </c>
      <c r="H255" s="40">
        <v>28600.0</v>
      </c>
      <c r="I255" s="40"/>
      <c r="J255" s="40" t="s">
        <v>31</v>
      </c>
      <c r="K255" s="40">
        <v>19.0</v>
      </c>
      <c r="L255" s="40"/>
      <c r="M255" s="40">
        <v>90000.0</v>
      </c>
    </row>
    <row r="256">
      <c r="A256" s="40" t="s">
        <v>76</v>
      </c>
      <c r="B256" s="40" t="s">
        <v>879</v>
      </c>
      <c r="C256" s="40" t="s">
        <v>880</v>
      </c>
      <c r="D256" s="40">
        <v>36.0</v>
      </c>
      <c r="E256" s="40">
        <v>32914.0</v>
      </c>
      <c r="F256" s="40" t="s">
        <v>342</v>
      </c>
      <c r="G256" s="40" t="s">
        <v>437</v>
      </c>
      <c r="H256" s="40">
        <v>27600.0</v>
      </c>
      <c r="I256" s="40">
        <v>37000.0</v>
      </c>
      <c r="J256" s="40" t="s">
        <v>31</v>
      </c>
      <c r="K256" s="40">
        <v>15.0</v>
      </c>
      <c r="L256" s="40"/>
      <c r="M256" s="40">
        <v>41500.0</v>
      </c>
    </row>
    <row r="257">
      <c r="A257" s="40" t="s">
        <v>76</v>
      </c>
      <c r="B257" s="40" t="s">
        <v>881</v>
      </c>
      <c r="C257" s="40">
        <v>17100.0</v>
      </c>
      <c r="D257" s="40">
        <v>45.0</v>
      </c>
      <c r="E257" s="40">
        <v>29506.0</v>
      </c>
      <c r="F257" s="40" t="s">
        <v>428</v>
      </c>
      <c r="G257" s="40" t="s">
        <v>102</v>
      </c>
      <c r="H257" s="40">
        <v>5100.0</v>
      </c>
      <c r="I257" s="40" t="s">
        <v>375</v>
      </c>
      <c r="J257" s="40" t="s">
        <v>31</v>
      </c>
      <c r="K257" s="40">
        <v>29.0</v>
      </c>
      <c r="L257" s="40"/>
      <c r="M257" s="40">
        <v>88000.0</v>
      </c>
    </row>
    <row r="258">
      <c r="A258" s="40" t="s">
        <v>131</v>
      </c>
      <c r="B258" s="40" t="s">
        <v>882</v>
      </c>
      <c r="C258" s="40" t="s">
        <v>883</v>
      </c>
      <c r="D258" s="40">
        <v>56.0</v>
      </c>
      <c r="E258" s="40">
        <v>25551.0</v>
      </c>
      <c r="F258" s="40" t="s">
        <v>270</v>
      </c>
      <c r="G258" s="40" t="s">
        <v>270</v>
      </c>
      <c r="H258" s="40">
        <v>22.6</v>
      </c>
      <c r="I258" s="40">
        <v>63000.0</v>
      </c>
      <c r="J258" s="40" t="s">
        <v>31</v>
      </c>
      <c r="K258" s="40">
        <v>33.0</v>
      </c>
      <c r="L258" s="40"/>
      <c r="M258" s="40">
        <v>53000.0</v>
      </c>
    </row>
    <row r="259">
      <c r="A259" s="40" t="s">
        <v>71</v>
      </c>
      <c r="B259" s="40" t="s">
        <v>884</v>
      </c>
      <c r="C259" s="40" t="s">
        <v>885</v>
      </c>
      <c r="D259" s="40">
        <v>47.0</v>
      </c>
      <c r="E259" s="47">
        <v>28861.0</v>
      </c>
      <c r="F259" s="40" t="s">
        <v>115</v>
      </c>
      <c r="G259" s="40" t="s">
        <v>117</v>
      </c>
      <c r="H259" s="40">
        <v>5000.0</v>
      </c>
      <c r="I259" s="40">
        <v>75.5</v>
      </c>
      <c r="J259" s="40" t="s">
        <v>32</v>
      </c>
      <c r="K259" s="40">
        <v>2.0</v>
      </c>
      <c r="L259" s="40"/>
      <c r="M259" s="40">
        <v>89500.0</v>
      </c>
    </row>
    <row r="260">
      <c r="A260" s="40" t="s">
        <v>71</v>
      </c>
      <c r="B260" s="40" t="s">
        <v>247</v>
      </c>
      <c r="C260" s="40" t="s">
        <v>886</v>
      </c>
      <c r="D260" s="40">
        <v>44.0</v>
      </c>
      <c r="E260" s="40" t="s">
        <v>887</v>
      </c>
      <c r="F260" s="40" t="s">
        <v>193</v>
      </c>
      <c r="G260" s="40" t="s">
        <v>195</v>
      </c>
      <c r="H260" s="40">
        <v>21700.0</v>
      </c>
      <c r="I260" s="40">
        <v>34500.0</v>
      </c>
      <c r="J260" s="40" t="s">
        <v>344</v>
      </c>
      <c r="K260" s="40">
        <v>29.0</v>
      </c>
      <c r="L260" s="40"/>
      <c r="M260" s="40">
        <v>10500.0</v>
      </c>
    </row>
    <row r="261">
      <c r="A261" s="40" t="s">
        <v>71</v>
      </c>
      <c r="B261" s="40" t="s">
        <v>888</v>
      </c>
      <c r="C261" s="40">
        <v>15900.0</v>
      </c>
      <c r="D261" s="40">
        <v>26.0</v>
      </c>
      <c r="E261" s="47">
        <v>36381.0</v>
      </c>
      <c r="F261" s="40" t="s">
        <v>193</v>
      </c>
      <c r="G261" s="40" t="s">
        <v>195</v>
      </c>
      <c r="H261" s="40" t="s">
        <v>889</v>
      </c>
      <c r="I261" s="40" t="s">
        <v>890</v>
      </c>
      <c r="J261" s="40" t="s">
        <v>31</v>
      </c>
      <c r="K261" s="40">
        <v>27.0</v>
      </c>
      <c r="L261" s="40"/>
      <c r="M261" s="40">
        <v>7000.0</v>
      </c>
    </row>
    <row r="262">
      <c r="A262" s="40" t="s">
        <v>76</v>
      </c>
      <c r="B262" s="40" t="s">
        <v>891</v>
      </c>
      <c r="C262" s="40" t="s">
        <v>892</v>
      </c>
      <c r="D262" s="40">
        <v>49.0</v>
      </c>
      <c r="E262" s="47">
        <v>28404.0</v>
      </c>
      <c r="F262" s="40" t="s">
        <v>100</v>
      </c>
      <c r="G262" s="40" t="s">
        <v>88</v>
      </c>
      <c r="H262" s="40">
        <v>21900.0</v>
      </c>
      <c r="I262" s="40">
        <v>69000.0</v>
      </c>
      <c r="J262" s="40" t="s">
        <v>31</v>
      </c>
      <c r="K262" s="40" t="s">
        <v>893</v>
      </c>
      <c r="L262" s="40"/>
      <c r="M262" s="40">
        <v>80500.0</v>
      </c>
    </row>
    <row r="263">
      <c r="A263" s="40" t="s">
        <v>71</v>
      </c>
      <c r="B263" s="40" t="s">
        <v>894</v>
      </c>
      <c r="C263" s="40" t="s">
        <v>895</v>
      </c>
      <c r="D263" s="40">
        <v>71.0</v>
      </c>
      <c r="E263" s="40">
        <v>20187.0</v>
      </c>
      <c r="F263" s="40" t="s">
        <v>136</v>
      </c>
      <c r="G263" s="40" t="s">
        <v>117</v>
      </c>
      <c r="H263" s="40">
        <v>29200.0</v>
      </c>
      <c r="I263" s="40">
        <v>73500.0</v>
      </c>
      <c r="J263" s="40" t="s">
        <v>31</v>
      </c>
      <c r="K263" s="40">
        <v>2.0</v>
      </c>
      <c r="L263" s="40"/>
      <c r="M263" s="40">
        <v>33000.0</v>
      </c>
    </row>
    <row r="264">
      <c r="A264" s="40" t="s">
        <v>71</v>
      </c>
      <c r="B264" s="40" t="s">
        <v>896</v>
      </c>
      <c r="C264" s="40" t="s">
        <v>897</v>
      </c>
      <c r="D264" s="40">
        <v>65.0</v>
      </c>
      <c r="E264" s="40">
        <v>22314.0</v>
      </c>
      <c r="F264" s="40" t="s">
        <v>78</v>
      </c>
      <c r="G264" s="40" t="s">
        <v>79</v>
      </c>
      <c r="H264" s="40">
        <v>6100.0</v>
      </c>
      <c r="I264" s="40">
        <v>40000.0</v>
      </c>
      <c r="J264" s="40" t="s">
        <v>31</v>
      </c>
      <c r="K264" s="40" t="s">
        <v>898</v>
      </c>
      <c r="L264" s="40"/>
      <c r="M264" s="40">
        <v>22500.0</v>
      </c>
    </row>
    <row r="265">
      <c r="A265" s="40" t="s">
        <v>71</v>
      </c>
      <c r="B265" s="40" t="s">
        <v>899</v>
      </c>
      <c r="C265" s="40" t="s">
        <v>900</v>
      </c>
      <c r="D265" s="40">
        <v>65.0</v>
      </c>
      <c r="E265" s="40">
        <v>22297.0</v>
      </c>
      <c r="F265" s="40" t="s">
        <v>93</v>
      </c>
      <c r="G265" s="40" t="s">
        <v>94</v>
      </c>
      <c r="H265" s="40">
        <v>27.3</v>
      </c>
      <c r="I265" s="40">
        <v>48500.0</v>
      </c>
      <c r="J265" s="40" t="s">
        <v>31</v>
      </c>
      <c r="K265" s="40">
        <v>29.0</v>
      </c>
      <c r="L265" s="40"/>
      <c r="M265" s="40">
        <v>94000.0</v>
      </c>
    </row>
    <row r="266">
      <c r="A266" s="40" t="s">
        <v>71</v>
      </c>
      <c r="B266" s="40" t="s">
        <v>901</v>
      </c>
      <c r="C266" s="40" t="s">
        <v>902</v>
      </c>
      <c r="D266" s="40">
        <v>57.0</v>
      </c>
      <c r="E266" s="40">
        <v>25350.0</v>
      </c>
      <c r="F266" s="40" t="s">
        <v>253</v>
      </c>
      <c r="G266" s="40" t="s">
        <v>195</v>
      </c>
      <c r="H266" s="40">
        <v>20600.0</v>
      </c>
      <c r="I266" s="40">
        <v>52500.0</v>
      </c>
      <c r="J266" s="40"/>
      <c r="K266" s="40">
        <v>16.0</v>
      </c>
      <c r="L266" s="40"/>
      <c r="M266" s="40">
        <v>97000.0</v>
      </c>
    </row>
    <row r="267">
      <c r="A267" s="40" t="s">
        <v>71</v>
      </c>
      <c r="B267" s="40" t="s">
        <v>903</v>
      </c>
      <c r="C267" s="40">
        <v>2800.0</v>
      </c>
      <c r="D267" s="40">
        <v>24.0</v>
      </c>
      <c r="E267" s="40">
        <v>37470.0</v>
      </c>
      <c r="F267" s="40" t="s">
        <v>428</v>
      </c>
      <c r="G267" s="40" t="s">
        <v>274</v>
      </c>
      <c r="H267" s="40">
        <v>16900.0</v>
      </c>
      <c r="I267" s="40">
        <v>42500.0</v>
      </c>
      <c r="J267" s="40" t="s">
        <v>32</v>
      </c>
      <c r="K267" s="40" t="s">
        <v>904</v>
      </c>
      <c r="L267" s="40"/>
      <c r="M267" s="40">
        <v>12500.0</v>
      </c>
    </row>
    <row r="268">
      <c r="A268" s="40" t="s">
        <v>76</v>
      </c>
      <c r="B268" s="40" t="s">
        <v>905</v>
      </c>
      <c r="C268" s="40" t="s">
        <v>906</v>
      </c>
      <c r="D268" s="40">
        <v>55.0</v>
      </c>
      <c r="E268" s="47">
        <v>25759.0</v>
      </c>
      <c r="F268" s="40" t="s">
        <v>115</v>
      </c>
      <c r="G268" s="40" t="s">
        <v>117</v>
      </c>
      <c r="H268" s="40"/>
      <c r="I268" s="40">
        <v>5000.0</v>
      </c>
      <c r="J268" s="40" t="s">
        <v>31</v>
      </c>
      <c r="K268" s="40">
        <v>8.0</v>
      </c>
      <c r="L268" s="40"/>
      <c r="M268" s="40">
        <v>11000.0</v>
      </c>
    </row>
    <row r="269">
      <c r="A269" s="40" t="s">
        <v>71</v>
      </c>
      <c r="B269" s="40" t="s">
        <v>850</v>
      </c>
      <c r="C269" s="40" t="s">
        <v>907</v>
      </c>
      <c r="D269" s="40">
        <v>67.0</v>
      </c>
      <c r="E269" s="40" t="s">
        <v>908</v>
      </c>
      <c r="F269" s="40" t="s">
        <v>342</v>
      </c>
      <c r="G269" s="40" t="s">
        <v>343</v>
      </c>
      <c r="H269" s="40">
        <v>6400.0</v>
      </c>
      <c r="I269" s="40">
        <v>1000.0</v>
      </c>
      <c r="J269" s="40" t="s">
        <v>344</v>
      </c>
      <c r="K269" s="40">
        <v>27.0</v>
      </c>
      <c r="L269" s="40"/>
      <c r="M269" s="40">
        <v>50000.0</v>
      </c>
    </row>
    <row r="270">
      <c r="A270" s="40" t="s">
        <v>71</v>
      </c>
      <c r="B270" s="40" t="s">
        <v>909</v>
      </c>
      <c r="C270" s="40">
        <v>15600.0</v>
      </c>
      <c r="D270" s="40">
        <v>44.0</v>
      </c>
      <c r="E270" s="40">
        <v>29843.0</v>
      </c>
      <c r="F270" s="40" t="s">
        <v>82</v>
      </c>
      <c r="G270" s="40" t="s">
        <v>107</v>
      </c>
      <c r="H270" s="40">
        <v>11300.0</v>
      </c>
      <c r="I270" s="40">
        <v>55000.0</v>
      </c>
      <c r="J270" s="40" t="s">
        <v>31</v>
      </c>
      <c r="K270" s="40">
        <v>38.0</v>
      </c>
      <c r="L270" s="40"/>
      <c r="M270" s="40">
        <v>68500.0</v>
      </c>
    </row>
    <row r="271">
      <c r="A271" s="40" t="s">
        <v>71</v>
      </c>
      <c r="B271" s="40" t="s">
        <v>910</v>
      </c>
      <c r="C271" s="40" t="s">
        <v>911</v>
      </c>
      <c r="D271" s="40">
        <v>33.0</v>
      </c>
      <c r="E271" s="40">
        <v>34070.0</v>
      </c>
      <c r="F271" s="40" t="s">
        <v>428</v>
      </c>
      <c r="G271" s="40" t="s">
        <v>274</v>
      </c>
      <c r="H271" s="40">
        <v>29300.0</v>
      </c>
      <c r="I271" s="40">
        <v>69000.0</v>
      </c>
      <c r="J271" s="40" t="s">
        <v>32</v>
      </c>
      <c r="K271" s="40">
        <v>0.0</v>
      </c>
      <c r="L271" s="40"/>
      <c r="M271" s="40">
        <v>4500.0</v>
      </c>
    </row>
    <row r="272">
      <c r="A272" s="40" t="s">
        <v>71</v>
      </c>
      <c r="B272" s="40" t="s">
        <v>912</v>
      </c>
      <c r="C272" s="40" t="s">
        <v>913</v>
      </c>
      <c r="D272" s="40">
        <v>24.0</v>
      </c>
      <c r="E272" s="40">
        <v>37394.0</v>
      </c>
      <c r="F272" s="40" t="s">
        <v>914</v>
      </c>
      <c r="G272" s="40"/>
      <c r="H272" s="40">
        <v>14200.0</v>
      </c>
      <c r="I272" s="40">
        <v>71000.0</v>
      </c>
      <c r="J272" s="40" t="s">
        <v>31</v>
      </c>
      <c r="K272" s="40">
        <v>10.0</v>
      </c>
      <c r="L272" s="40"/>
      <c r="M272" s="40">
        <v>91500.0</v>
      </c>
    </row>
    <row r="273">
      <c r="A273" s="40" t="s">
        <v>71</v>
      </c>
      <c r="B273" s="40" t="s">
        <v>915</v>
      </c>
      <c r="C273" s="40">
        <v>31900.0</v>
      </c>
      <c r="D273" s="40">
        <v>20.0</v>
      </c>
      <c r="E273" s="40">
        <v>38678.0</v>
      </c>
      <c r="F273" s="40" t="s">
        <v>136</v>
      </c>
      <c r="G273" s="40" t="s">
        <v>117</v>
      </c>
      <c r="H273" s="40">
        <v>9.3</v>
      </c>
      <c r="I273" s="40">
        <v>35.0</v>
      </c>
      <c r="J273" s="40" t="s">
        <v>31</v>
      </c>
      <c r="K273" s="40">
        <v>5.0</v>
      </c>
      <c r="L273" s="40"/>
      <c r="M273" s="40">
        <v>10500.0</v>
      </c>
    </row>
    <row r="274">
      <c r="A274" s="40" t="s">
        <v>76</v>
      </c>
      <c r="B274" s="40" t="s">
        <v>916</v>
      </c>
      <c r="C274" s="40" t="s">
        <v>917</v>
      </c>
      <c r="D274" s="40">
        <v>20.0</v>
      </c>
      <c r="E274" s="40" t="s">
        <v>918</v>
      </c>
      <c r="F274" s="40" t="s">
        <v>428</v>
      </c>
      <c r="G274" s="40" t="s">
        <v>218</v>
      </c>
      <c r="H274" s="40">
        <v>12900.0</v>
      </c>
      <c r="I274" s="40" t="s">
        <v>919</v>
      </c>
      <c r="J274" s="40" t="s">
        <v>31</v>
      </c>
      <c r="K274" s="40">
        <v>13.0</v>
      </c>
      <c r="L274" s="40"/>
      <c r="M274" s="40">
        <v>2000.0</v>
      </c>
    </row>
    <row r="275">
      <c r="A275" s="40" t="s">
        <v>71</v>
      </c>
      <c r="B275" s="40" t="s">
        <v>920</v>
      </c>
      <c r="C275" s="40" t="s">
        <v>921</v>
      </c>
      <c r="D275" s="40"/>
      <c r="E275" s="40">
        <v>36337.0</v>
      </c>
      <c r="F275" s="40" t="s">
        <v>255</v>
      </c>
      <c r="G275" s="40" t="s">
        <v>205</v>
      </c>
      <c r="H275" s="40">
        <v>22500.0</v>
      </c>
      <c r="I275" s="40">
        <v>55500.0</v>
      </c>
      <c r="J275" s="40" t="s">
        <v>31</v>
      </c>
      <c r="K275" s="40">
        <v>32.0</v>
      </c>
      <c r="L275" s="40"/>
      <c r="M275" s="40">
        <v>91500.0</v>
      </c>
    </row>
    <row r="276">
      <c r="A276" s="40" t="s">
        <v>71</v>
      </c>
      <c r="B276" s="40" t="s">
        <v>922</v>
      </c>
      <c r="C276" s="40">
        <v>29500.0</v>
      </c>
      <c r="D276" s="40">
        <v>68.0</v>
      </c>
      <c r="E276" s="40" t="s">
        <v>923</v>
      </c>
      <c r="F276" s="40" t="s">
        <v>342</v>
      </c>
      <c r="G276" s="40" t="s">
        <v>348</v>
      </c>
      <c r="H276" s="40" t="s">
        <v>924</v>
      </c>
      <c r="I276" s="40">
        <v>64500.0</v>
      </c>
      <c r="J276" s="40" t="s">
        <v>32</v>
      </c>
      <c r="K276" s="40">
        <v>32.0</v>
      </c>
      <c r="L276" s="40"/>
      <c r="M276" s="40">
        <v>35500.0</v>
      </c>
    </row>
    <row r="277">
      <c r="A277" s="40" t="s">
        <v>71</v>
      </c>
      <c r="B277" s="40" t="s">
        <v>737</v>
      </c>
      <c r="C277" s="40" t="s">
        <v>925</v>
      </c>
      <c r="D277" s="40">
        <v>53.0</v>
      </c>
      <c r="E277" s="40" t="s">
        <v>926</v>
      </c>
      <c r="F277" s="40" t="s">
        <v>82</v>
      </c>
      <c r="G277" s="40" t="s">
        <v>249</v>
      </c>
      <c r="H277" s="40">
        <v>15500.0</v>
      </c>
      <c r="I277" s="40"/>
      <c r="J277" s="40" t="s">
        <v>31</v>
      </c>
      <c r="K277" s="40">
        <v>16.0</v>
      </c>
      <c r="L277" s="40"/>
      <c r="M277" s="40">
        <v>41000.0</v>
      </c>
    </row>
    <row r="278">
      <c r="A278" s="40" t="s">
        <v>71</v>
      </c>
      <c r="B278" s="40" t="s">
        <v>927</v>
      </c>
      <c r="C278" s="40" t="s">
        <v>928</v>
      </c>
      <c r="D278" s="40">
        <v>62.0</v>
      </c>
      <c r="E278" s="40"/>
      <c r="F278" s="40" t="s">
        <v>258</v>
      </c>
      <c r="G278" s="40" t="s">
        <v>222</v>
      </c>
      <c r="H278" s="40">
        <v>1900.0</v>
      </c>
      <c r="I278" s="40">
        <v>3500.0</v>
      </c>
      <c r="J278" s="40" t="s">
        <v>31</v>
      </c>
      <c r="K278" s="40">
        <v>19.0</v>
      </c>
      <c r="L278" s="40"/>
      <c r="M278" s="40">
        <v>62000.0</v>
      </c>
    </row>
    <row r="279">
      <c r="A279" s="40" t="s">
        <v>71</v>
      </c>
      <c r="B279" s="40" t="s">
        <v>929</v>
      </c>
      <c r="C279" s="40" t="s">
        <v>930</v>
      </c>
      <c r="D279" s="40">
        <v>61.0</v>
      </c>
      <c r="E279" s="47">
        <v>24023.0</v>
      </c>
      <c r="F279" s="40" t="s">
        <v>234</v>
      </c>
      <c r="G279" s="40" t="s">
        <v>236</v>
      </c>
      <c r="H279" s="40">
        <v>7000.0</v>
      </c>
      <c r="I279" s="40">
        <v>1500.0</v>
      </c>
      <c r="J279" s="40" t="s">
        <v>32</v>
      </c>
      <c r="K279" s="40">
        <v>32.0</v>
      </c>
      <c r="L279" s="40"/>
      <c r="M279" s="40">
        <v>53000.0</v>
      </c>
    </row>
    <row r="280">
      <c r="A280" s="40" t="s">
        <v>71</v>
      </c>
      <c r="B280" s="40" t="s">
        <v>931</v>
      </c>
      <c r="C280" s="40" t="s">
        <v>932</v>
      </c>
      <c r="D280" s="40">
        <v>25.0</v>
      </c>
      <c r="E280" s="40">
        <v>37118.0</v>
      </c>
      <c r="F280" s="40" t="s">
        <v>258</v>
      </c>
      <c r="G280" s="40" t="s">
        <v>222</v>
      </c>
      <c r="H280" s="40" t="s">
        <v>933</v>
      </c>
      <c r="I280" s="40">
        <v>1500.0</v>
      </c>
      <c r="J280" s="40">
        <v>1.0</v>
      </c>
      <c r="K280" s="40">
        <v>33.0</v>
      </c>
      <c r="L280" s="40"/>
      <c r="M280" s="40">
        <v>14000.0</v>
      </c>
    </row>
    <row r="281">
      <c r="A281" s="40" t="s">
        <v>362</v>
      </c>
      <c r="B281" s="40" t="s">
        <v>934</v>
      </c>
      <c r="C281" s="40" t="s">
        <v>935</v>
      </c>
      <c r="D281" s="40">
        <v>52.0</v>
      </c>
      <c r="E281" s="40">
        <v>27088.0</v>
      </c>
      <c r="F281" s="40" t="s">
        <v>78</v>
      </c>
      <c r="G281" s="40" t="s">
        <v>79</v>
      </c>
      <c r="H281" s="40">
        <v>24900.0</v>
      </c>
      <c r="I281" s="40">
        <v>0.0</v>
      </c>
      <c r="J281" s="40" t="s">
        <v>31</v>
      </c>
      <c r="K281" s="40" t="s">
        <v>509</v>
      </c>
      <c r="L281" s="40"/>
      <c r="M281" s="40">
        <v>16000.0</v>
      </c>
    </row>
    <row r="282">
      <c r="A282" s="40" t="s">
        <v>76</v>
      </c>
      <c r="B282" s="40" t="s">
        <v>936</v>
      </c>
      <c r="C282" s="40" t="s">
        <v>937</v>
      </c>
      <c r="D282" s="40">
        <v>33.0</v>
      </c>
      <c r="E282" s="40">
        <v>33989.0</v>
      </c>
      <c r="F282" s="40" t="s">
        <v>316</v>
      </c>
      <c r="G282" s="40" t="s">
        <v>249</v>
      </c>
      <c r="H282" s="40">
        <v>23400.0</v>
      </c>
      <c r="I282" s="40">
        <v>59000.0</v>
      </c>
      <c r="J282" s="40" t="s">
        <v>268</v>
      </c>
      <c r="K282" s="40">
        <v>35.0</v>
      </c>
      <c r="L282" s="40"/>
      <c r="M282" s="40">
        <v>39000.0</v>
      </c>
    </row>
    <row r="283">
      <c r="A283" s="40" t="s">
        <v>76</v>
      </c>
      <c r="B283" s="40" t="s">
        <v>938</v>
      </c>
      <c r="C283" s="40" t="s">
        <v>939</v>
      </c>
      <c r="D283" s="40">
        <v>48.0</v>
      </c>
      <c r="E283" s="40">
        <v>28737.0</v>
      </c>
      <c r="F283" s="40" t="s">
        <v>316</v>
      </c>
      <c r="G283" s="40" t="s">
        <v>107</v>
      </c>
      <c r="H283" s="40">
        <v>12400.0</v>
      </c>
      <c r="I283" s="40">
        <v>0.0</v>
      </c>
      <c r="J283" s="40" t="s">
        <v>31</v>
      </c>
      <c r="K283" s="40">
        <v>25.0</v>
      </c>
      <c r="L283" s="40"/>
      <c r="M283" s="40">
        <v>65500.0</v>
      </c>
    </row>
    <row r="284">
      <c r="A284" s="40" t="s">
        <v>76</v>
      </c>
      <c r="B284" s="40" t="s">
        <v>940</v>
      </c>
      <c r="C284" s="40" t="s">
        <v>941</v>
      </c>
      <c r="D284" s="40">
        <v>55.0</v>
      </c>
      <c r="E284" s="40" t="s">
        <v>942</v>
      </c>
      <c r="F284" s="40" t="s">
        <v>74</v>
      </c>
      <c r="G284" s="40" t="s">
        <v>613</v>
      </c>
      <c r="H284" s="40" t="s">
        <v>943</v>
      </c>
      <c r="I284" s="40" t="s">
        <v>773</v>
      </c>
      <c r="J284" s="40" t="s">
        <v>32</v>
      </c>
      <c r="K284" s="40">
        <v>14.0</v>
      </c>
      <c r="L284" s="40"/>
      <c r="M284" s="40">
        <v>27000.0</v>
      </c>
    </row>
    <row r="285">
      <c r="A285" s="40" t="s">
        <v>71</v>
      </c>
      <c r="B285" s="40" t="s">
        <v>944</v>
      </c>
      <c r="C285" s="40" t="s">
        <v>945</v>
      </c>
      <c r="D285" s="40">
        <v>28.0</v>
      </c>
      <c r="E285" s="40"/>
      <c r="F285" s="40" t="s">
        <v>136</v>
      </c>
      <c r="G285" s="40" t="s">
        <v>117</v>
      </c>
      <c r="H285" s="40">
        <v>14500.0</v>
      </c>
      <c r="I285" s="40">
        <v>39500.0</v>
      </c>
      <c r="J285" s="40" t="s">
        <v>31</v>
      </c>
      <c r="K285" s="40">
        <v>18.0</v>
      </c>
      <c r="L285" s="40"/>
      <c r="M285" s="40">
        <v>32000.0</v>
      </c>
    </row>
    <row r="286">
      <c r="A286" s="40" t="s">
        <v>71</v>
      </c>
      <c r="B286" s="40" t="s">
        <v>946</v>
      </c>
      <c r="C286" s="40" t="s">
        <v>947</v>
      </c>
      <c r="D286" s="40">
        <v>52.0</v>
      </c>
      <c r="E286" s="40" t="s">
        <v>948</v>
      </c>
      <c r="F286" s="40" t="s">
        <v>234</v>
      </c>
      <c r="G286" s="40" t="s">
        <v>205</v>
      </c>
      <c r="H286" s="40">
        <v>7300.0</v>
      </c>
      <c r="I286" s="40" t="s">
        <v>949</v>
      </c>
      <c r="J286" s="40" t="s">
        <v>31</v>
      </c>
      <c r="K286" s="40">
        <v>40.0</v>
      </c>
      <c r="L286" s="40"/>
      <c r="M286" s="40">
        <v>34500.0</v>
      </c>
    </row>
    <row r="287">
      <c r="A287" s="40" t="s">
        <v>71</v>
      </c>
      <c r="B287" s="40" t="s">
        <v>950</v>
      </c>
      <c r="C287" s="40" t="s">
        <v>951</v>
      </c>
      <c r="D287" s="40">
        <v>63.0</v>
      </c>
      <c r="E287" s="40" t="s">
        <v>952</v>
      </c>
      <c r="F287" s="40" t="s">
        <v>953</v>
      </c>
      <c r="G287" s="40"/>
      <c r="H287" s="40">
        <v>11200.0</v>
      </c>
      <c r="I287" s="40"/>
      <c r="J287" s="40"/>
      <c r="K287" s="40">
        <v>41.0</v>
      </c>
      <c r="L287" s="40"/>
      <c r="M287" s="40">
        <v>83500.0</v>
      </c>
    </row>
    <row r="288">
      <c r="A288" s="40" t="s">
        <v>71</v>
      </c>
      <c r="B288" s="40" t="s">
        <v>954</v>
      </c>
      <c r="C288" s="40" t="s">
        <v>955</v>
      </c>
      <c r="D288" s="40">
        <v>53.0</v>
      </c>
      <c r="E288" s="40" t="s">
        <v>956</v>
      </c>
      <c r="F288" s="40" t="s">
        <v>957</v>
      </c>
      <c r="G288" s="40"/>
      <c r="H288" s="40">
        <v>9500.0</v>
      </c>
      <c r="I288" s="40">
        <v>66.5</v>
      </c>
      <c r="J288" s="40" t="s">
        <v>32</v>
      </c>
      <c r="K288" s="40">
        <v>38.0</v>
      </c>
      <c r="L288" s="40"/>
      <c r="M288" s="40">
        <v>42500.0</v>
      </c>
    </row>
    <row r="289">
      <c r="A289" s="40" t="s">
        <v>71</v>
      </c>
      <c r="B289" s="40" t="s">
        <v>958</v>
      </c>
      <c r="C289" s="40" t="s">
        <v>959</v>
      </c>
      <c r="D289" s="40">
        <v>71.0</v>
      </c>
      <c r="E289" s="40">
        <v>20275.0</v>
      </c>
      <c r="F289" s="40" t="s">
        <v>93</v>
      </c>
      <c r="G289" s="40" t="s">
        <v>94</v>
      </c>
      <c r="H289" s="40">
        <v>14200.0</v>
      </c>
      <c r="I289" s="40">
        <v>51000.0</v>
      </c>
      <c r="J289" s="40" t="s">
        <v>31</v>
      </c>
      <c r="K289" s="40">
        <v>10.0</v>
      </c>
      <c r="L289" s="40"/>
      <c r="M289" s="40">
        <v>90500.0</v>
      </c>
    </row>
    <row r="290">
      <c r="A290" s="40" t="s">
        <v>71</v>
      </c>
      <c r="B290" s="40" t="s">
        <v>737</v>
      </c>
      <c r="C290" s="40" t="s">
        <v>738</v>
      </c>
      <c r="D290" s="40">
        <v>37.0</v>
      </c>
      <c r="E290" s="40">
        <v>32414.0</v>
      </c>
      <c r="F290" s="40" t="s">
        <v>739</v>
      </c>
      <c r="G290" s="40"/>
      <c r="H290" s="40">
        <v>12800.0</v>
      </c>
      <c r="I290" s="40">
        <v>76500.0</v>
      </c>
      <c r="J290" s="40" t="s">
        <v>31</v>
      </c>
      <c r="K290" s="40" t="s">
        <v>656</v>
      </c>
      <c r="L290" s="40"/>
      <c r="M290" s="40">
        <v>95000.0</v>
      </c>
    </row>
    <row r="291">
      <c r="A291" s="40" t="s">
        <v>71</v>
      </c>
      <c r="B291" s="40" t="s">
        <v>960</v>
      </c>
      <c r="C291" s="40" t="s">
        <v>961</v>
      </c>
      <c r="D291" s="40">
        <v>22.0</v>
      </c>
      <c r="E291" s="40">
        <v>37936.0</v>
      </c>
      <c r="F291" s="40" t="s">
        <v>74</v>
      </c>
      <c r="G291" s="40" t="s">
        <v>123</v>
      </c>
      <c r="H291" s="40">
        <v>4.1</v>
      </c>
      <c r="I291" s="40">
        <v>2000.0</v>
      </c>
      <c r="J291" s="40" t="s">
        <v>31</v>
      </c>
      <c r="K291" s="40">
        <v>8.0</v>
      </c>
      <c r="L291" s="40"/>
      <c r="M291" s="40">
        <v>4000.0</v>
      </c>
    </row>
    <row r="292">
      <c r="A292" s="40" t="s">
        <v>71</v>
      </c>
      <c r="B292" s="40" t="s">
        <v>962</v>
      </c>
      <c r="C292" s="40" t="s">
        <v>963</v>
      </c>
      <c r="D292" s="40">
        <v>37.0</v>
      </c>
      <c r="E292" s="40">
        <v>32680.0</v>
      </c>
      <c r="F292" s="40" t="s">
        <v>136</v>
      </c>
      <c r="G292" s="40" t="s">
        <v>117</v>
      </c>
      <c r="H292" s="40">
        <v>28900.0</v>
      </c>
      <c r="I292" s="40">
        <v>71000.0</v>
      </c>
      <c r="J292" s="40" t="s">
        <v>31</v>
      </c>
      <c r="K292" s="40">
        <v>28.0</v>
      </c>
      <c r="L292" s="40"/>
      <c r="M292" s="40">
        <v>36500.0</v>
      </c>
    </row>
    <row r="293">
      <c r="A293" s="40" t="s">
        <v>71</v>
      </c>
      <c r="B293" s="40" t="s">
        <v>964</v>
      </c>
      <c r="C293" s="40">
        <v>13200.0</v>
      </c>
      <c r="D293" s="40">
        <v>29.0</v>
      </c>
      <c r="E293" s="40">
        <v>35334.0</v>
      </c>
      <c r="F293" s="40" t="s">
        <v>100</v>
      </c>
      <c r="G293" s="40" t="s">
        <v>210</v>
      </c>
      <c r="H293" s="40">
        <v>19500.0</v>
      </c>
      <c r="I293" s="40" t="s">
        <v>965</v>
      </c>
      <c r="J293" s="40" t="s">
        <v>31</v>
      </c>
      <c r="K293" s="40">
        <v>12.0</v>
      </c>
      <c r="L293" s="40"/>
      <c r="M293" s="40">
        <v>20500.0</v>
      </c>
    </row>
    <row r="294">
      <c r="A294" s="40" t="s">
        <v>71</v>
      </c>
      <c r="B294" s="40" t="s">
        <v>689</v>
      </c>
      <c r="C294" s="40" t="s">
        <v>966</v>
      </c>
      <c r="D294" s="40">
        <v>51.0</v>
      </c>
      <c r="E294" s="40" t="s">
        <v>967</v>
      </c>
      <c r="F294" s="40" t="s">
        <v>270</v>
      </c>
      <c r="G294" s="40" t="s">
        <v>270</v>
      </c>
      <c r="H294" s="40">
        <v>26000.0</v>
      </c>
      <c r="I294" s="40">
        <v>47500.0</v>
      </c>
      <c r="J294" s="40" t="s">
        <v>31</v>
      </c>
      <c r="K294" s="40">
        <v>45.0</v>
      </c>
      <c r="L294" s="40"/>
      <c r="M294" s="40">
        <v>60500.0</v>
      </c>
    </row>
    <row r="295">
      <c r="A295" s="40" t="s">
        <v>76</v>
      </c>
      <c r="B295" s="40" t="s">
        <v>968</v>
      </c>
      <c r="C295" s="40" t="s">
        <v>969</v>
      </c>
      <c r="D295" s="40">
        <v>74.0</v>
      </c>
      <c r="E295" s="40" t="s">
        <v>970</v>
      </c>
      <c r="F295" s="40" t="s">
        <v>93</v>
      </c>
      <c r="G295" s="40" t="s">
        <v>94</v>
      </c>
      <c r="H295" s="40">
        <v>24000.0</v>
      </c>
      <c r="I295" s="40">
        <v>35000.0</v>
      </c>
      <c r="J295" s="40" t="s">
        <v>31</v>
      </c>
      <c r="K295" s="40" t="s">
        <v>971</v>
      </c>
      <c r="L295" s="40"/>
      <c r="M295" s="40">
        <v>29500.0</v>
      </c>
    </row>
    <row r="296">
      <c r="A296" s="40" t="s">
        <v>71</v>
      </c>
      <c r="B296" s="40" t="s">
        <v>972</v>
      </c>
      <c r="C296" s="40" t="s">
        <v>973</v>
      </c>
      <c r="D296" s="40">
        <v>19.0</v>
      </c>
      <c r="E296" s="40">
        <v>39016.0</v>
      </c>
      <c r="F296" s="40" t="s">
        <v>100</v>
      </c>
      <c r="G296" s="40" t="s">
        <v>371</v>
      </c>
      <c r="H296" s="40">
        <v>14.9</v>
      </c>
      <c r="I296" s="40">
        <v>17000.0</v>
      </c>
      <c r="J296" s="40" t="s">
        <v>31</v>
      </c>
      <c r="K296" s="40">
        <v>20.0</v>
      </c>
      <c r="L296" s="40"/>
      <c r="M296" s="40">
        <v>29500.0</v>
      </c>
    </row>
    <row r="297">
      <c r="A297" s="40" t="s">
        <v>76</v>
      </c>
      <c r="B297" s="40" t="s">
        <v>975</v>
      </c>
      <c r="C297" s="40">
        <v>32700.0</v>
      </c>
      <c r="D297" s="40">
        <v>57.0</v>
      </c>
      <c r="E297" s="40" t="s">
        <v>976</v>
      </c>
      <c r="F297" s="40" t="s">
        <v>136</v>
      </c>
      <c r="G297" s="40" t="s">
        <v>359</v>
      </c>
      <c r="H297" s="40">
        <v>28600.0</v>
      </c>
      <c r="I297" s="40" t="s">
        <v>977</v>
      </c>
      <c r="J297" s="40" t="s">
        <v>31</v>
      </c>
      <c r="K297" s="40">
        <v>29.0</v>
      </c>
      <c r="L297" s="40"/>
      <c r="M297" s="40">
        <v>93500.0</v>
      </c>
    </row>
    <row r="298">
      <c r="A298" s="40" t="s">
        <v>76</v>
      </c>
      <c r="B298" s="40" t="s">
        <v>978</v>
      </c>
      <c r="C298" s="40">
        <v>19200.0</v>
      </c>
      <c r="D298" s="40">
        <v>50.0</v>
      </c>
      <c r="E298" s="40">
        <v>27833.0</v>
      </c>
      <c r="F298" s="40" t="s">
        <v>755</v>
      </c>
      <c r="G298" s="40"/>
      <c r="H298" s="40">
        <v>16200.0</v>
      </c>
      <c r="I298" s="40" t="s">
        <v>375</v>
      </c>
      <c r="J298" s="40" t="s">
        <v>344</v>
      </c>
      <c r="K298" s="40">
        <v>26.0</v>
      </c>
      <c r="L298" s="40"/>
      <c r="M298" s="40">
        <v>65000.0</v>
      </c>
    </row>
    <row r="299">
      <c r="A299" s="40" t="s">
        <v>71</v>
      </c>
      <c r="B299" s="40" t="s">
        <v>620</v>
      </c>
      <c r="C299" s="40">
        <v>28500.0</v>
      </c>
      <c r="D299" s="40" t="s">
        <v>979</v>
      </c>
      <c r="E299" s="40">
        <v>31115.0</v>
      </c>
      <c r="F299" s="40" t="s">
        <v>203</v>
      </c>
      <c r="G299" s="40" t="s">
        <v>205</v>
      </c>
      <c r="H299" s="40">
        <v>23100.0</v>
      </c>
      <c r="I299" s="40">
        <v>36000.0</v>
      </c>
      <c r="J299" s="40" t="s">
        <v>31</v>
      </c>
      <c r="K299" s="40">
        <v>19.0</v>
      </c>
      <c r="L299" s="40"/>
      <c r="M299" s="40">
        <v>37500.0</v>
      </c>
    </row>
    <row r="300">
      <c r="A300" s="40" t="s">
        <v>71</v>
      </c>
      <c r="B300" s="40" t="s">
        <v>980</v>
      </c>
      <c r="C300" s="40">
        <v>13700.0</v>
      </c>
      <c r="D300" s="40">
        <v>73.0</v>
      </c>
      <c r="E300" s="40" t="s">
        <v>981</v>
      </c>
      <c r="F300" s="40" t="s">
        <v>342</v>
      </c>
      <c r="G300" s="40" t="s">
        <v>437</v>
      </c>
      <c r="H300" s="40">
        <v>18100.0</v>
      </c>
      <c r="I300" s="40">
        <v>0.0</v>
      </c>
      <c r="J300" s="40" t="s">
        <v>31</v>
      </c>
      <c r="K300" s="40">
        <v>36.0</v>
      </c>
      <c r="L300" s="40"/>
      <c r="M300" s="40">
        <v>89000.0</v>
      </c>
    </row>
    <row r="301">
      <c r="A301" s="40" t="s">
        <v>259</v>
      </c>
      <c r="B301" s="40" t="s">
        <v>982</v>
      </c>
      <c r="C301" s="40">
        <v>33100.0</v>
      </c>
      <c r="D301" s="40"/>
      <c r="E301" s="40">
        <v>36759.0</v>
      </c>
      <c r="F301" s="40" t="s">
        <v>270</v>
      </c>
      <c r="G301" s="40" t="s">
        <v>270</v>
      </c>
      <c r="H301" s="40">
        <v>23200.0</v>
      </c>
      <c r="I301" s="40">
        <v>54500.0</v>
      </c>
      <c r="J301" s="40">
        <v>1.0</v>
      </c>
      <c r="K301" s="40">
        <v>26.0</v>
      </c>
      <c r="L301" s="40"/>
      <c r="M301" s="40">
        <v>75000.0</v>
      </c>
    </row>
    <row r="302">
      <c r="A302" s="40" t="s">
        <v>71</v>
      </c>
      <c r="B302" s="40" t="s">
        <v>983</v>
      </c>
      <c r="C302" s="40" t="s">
        <v>984</v>
      </c>
      <c r="D302" s="40">
        <v>25.0</v>
      </c>
      <c r="E302" s="40" t="s">
        <v>985</v>
      </c>
      <c r="F302" s="40" t="s">
        <v>74</v>
      </c>
      <c r="G302" s="40" t="s">
        <v>75</v>
      </c>
      <c r="H302" s="40">
        <v>22100.0</v>
      </c>
      <c r="I302" s="40">
        <v>30500.0</v>
      </c>
      <c r="J302" s="40" t="s">
        <v>31</v>
      </c>
      <c r="K302" s="40" t="s">
        <v>377</v>
      </c>
      <c r="L302" s="40"/>
      <c r="M302" s="40">
        <v>48000.0</v>
      </c>
    </row>
    <row r="303">
      <c r="A303" s="40" t="s">
        <v>131</v>
      </c>
      <c r="B303" s="40" t="s">
        <v>986</v>
      </c>
      <c r="C303" s="40" t="s">
        <v>987</v>
      </c>
      <c r="D303" s="40">
        <v>36.0</v>
      </c>
      <c r="E303" s="40">
        <v>33117.0</v>
      </c>
      <c r="F303" s="40" t="s">
        <v>342</v>
      </c>
      <c r="G303" s="40" t="s">
        <v>437</v>
      </c>
      <c r="H303" s="40">
        <v>11600.0</v>
      </c>
      <c r="I303" s="40">
        <v>78500.0</v>
      </c>
      <c r="J303" s="40" t="s">
        <v>31</v>
      </c>
      <c r="K303" s="40">
        <v>1.0</v>
      </c>
      <c r="L303" s="40"/>
      <c r="M303" s="40">
        <v>42000.0</v>
      </c>
    </row>
    <row r="304">
      <c r="A304" s="40" t="s">
        <v>76</v>
      </c>
      <c r="B304" s="40" t="s">
        <v>989</v>
      </c>
      <c r="C304" s="40">
        <v>16600.0</v>
      </c>
      <c r="D304" s="40">
        <v>35.0</v>
      </c>
      <c r="E304" s="40">
        <v>33417.0</v>
      </c>
      <c r="F304" s="40" t="s">
        <v>258</v>
      </c>
      <c r="G304" s="40" t="s">
        <v>307</v>
      </c>
      <c r="H304" s="40" t="s">
        <v>990</v>
      </c>
      <c r="I304" s="40">
        <v>0.0</v>
      </c>
      <c r="J304" s="40" t="s">
        <v>31</v>
      </c>
      <c r="K304" s="40">
        <v>3.0</v>
      </c>
      <c r="L304" s="40"/>
      <c r="M304" s="40">
        <v>83500.0</v>
      </c>
    </row>
    <row r="305">
      <c r="A305" s="40" t="s">
        <v>71</v>
      </c>
      <c r="B305" s="40" t="s">
        <v>991</v>
      </c>
      <c r="C305" s="40" t="s">
        <v>992</v>
      </c>
      <c r="D305" s="40">
        <v>64.0</v>
      </c>
      <c r="E305" s="40" t="s">
        <v>993</v>
      </c>
      <c r="F305" s="40" t="s">
        <v>246</v>
      </c>
      <c r="G305" s="40" t="s">
        <v>262</v>
      </c>
      <c r="H305" s="40">
        <v>12700.0</v>
      </c>
      <c r="I305" s="40">
        <v>0.0</v>
      </c>
      <c r="J305" s="40" t="s">
        <v>31</v>
      </c>
      <c r="K305" s="40">
        <v>21.0</v>
      </c>
      <c r="L305" s="40"/>
      <c r="M305" s="40">
        <v>50500.0</v>
      </c>
    </row>
    <row r="306">
      <c r="A306" s="40" t="s">
        <v>71</v>
      </c>
      <c r="B306" s="40" t="s">
        <v>994</v>
      </c>
      <c r="C306" s="40" t="s">
        <v>995</v>
      </c>
      <c r="D306" s="40">
        <v>49.0</v>
      </c>
      <c r="E306" s="40">
        <v>28147.0</v>
      </c>
      <c r="F306" s="40" t="s">
        <v>316</v>
      </c>
      <c r="G306" s="40" t="s">
        <v>83</v>
      </c>
      <c r="H306" s="40">
        <v>28400.0</v>
      </c>
      <c r="I306" s="40">
        <v>38.5</v>
      </c>
      <c r="J306" s="40" t="s">
        <v>277</v>
      </c>
      <c r="K306" s="40" t="s">
        <v>904</v>
      </c>
      <c r="L306" s="40"/>
      <c r="M306" s="40">
        <v>51000.0</v>
      </c>
    </row>
    <row r="307">
      <c r="A307" s="40" t="s">
        <v>71</v>
      </c>
      <c r="B307" s="40" t="s">
        <v>996</v>
      </c>
      <c r="C307" s="40" t="s">
        <v>997</v>
      </c>
      <c r="D307" s="40">
        <v>50.0</v>
      </c>
      <c r="E307" s="47">
        <v>27916.0</v>
      </c>
      <c r="F307" s="40" t="s">
        <v>270</v>
      </c>
      <c r="G307" s="40" t="s">
        <v>270</v>
      </c>
      <c r="H307" s="40">
        <v>16100.0</v>
      </c>
      <c r="I307" s="40">
        <v>8.0</v>
      </c>
      <c r="J307" s="40" t="s">
        <v>32</v>
      </c>
      <c r="K307" s="40">
        <v>30.0</v>
      </c>
      <c r="L307" s="40"/>
      <c r="M307" s="40">
        <v>27000.0</v>
      </c>
    </row>
    <row r="308">
      <c r="A308" s="40"/>
      <c r="B308" s="40" t="s">
        <v>998</v>
      </c>
      <c r="C308" s="40" t="s">
        <v>999</v>
      </c>
      <c r="D308" s="40"/>
      <c r="E308" s="51">
        <v>33188.0</v>
      </c>
      <c r="F308" s="40" t="s">
        <v>136</v>
      </c>
      <c r="G308" s="40" t="s">
        <v>117</v>
      </c>
      <c r="H308" s="40">
        <v>29900.0</v>
      </c>
      <c r="I308" s="40" t="s">
        <v>1000</v>
      </c>
      <c r="J308" s="40" t="s">
        <v>31</v>
      </c>
      <c r="K308" s="40">
        <v>34.0</v>
      </c>
      <c r="L308" s="40"/>
      <c r="M308" s="40">
        <v>48500.0</v>
      </c>
    </row>
    <row r="309">
      <c r="A309" s="40" t="s">
        <v>71</v>
      </c>
      <c r="B309" s="40" t="s">
        <v>1001</v>
      </c>
      <c r="C309" s="40" t="s">
        <v>1002</v>
      </c>
      <c r="D309" s="40">
        <v>39.0</v>
      </c>
      <c r="E309" s="47">
        <v>32057.0</v>
      </c>
      <c r="F309" s="40" t="s">
        <v>957</v>
      </c>
      <c r="G309" s="40"/>
      <c r="H309" s="40">
        <v>8000.0</v>
      </c>
      <c r="I309" s="40">
        <v>69.0</v>
      </c>
      <c r="J309" s="40" t="s">
        <v>31</v>
      </c>
      <c r="K309" s="40">
        <v>15.0</v>
      </c>
      <c r="L309" s="40"/>
      <c r="M309" s="40">
        <v>39500.0</v>
      </c>
    </row>
    <row r="310">
      <c r="A310" s="40" t="s">
        <v>131</v>
      </c>
      <c r="B310" s="40" t="s">
        <v>1003</v>
      </c>
      <c r="C310" s="40" t="s">
        <v>1004</v>
      </c>
      <c r="D310" s="40">
        <v>19.0</v>
      </c>
      <c r="E310" s="40" t="s">
        <v>1005</v>
      </c>
      <c r="F310" s="40" t="s">
        <v>234</v>
      </c>
      <c r="G310" s="40" t="s">
        <v>205</v>
      </c>
      <c r="H310" s="40" t="s">
        <v>1006</v>
      </c>
      <c r="I310" s="40">
        <v>29.5</v>
      </c>
      <c r="J310" s="40" t="s">
        <v>32</v>
      </c>
      <c r="K310" s="40">
        <v>13.0</v>
      </c>
      <c r="L310" s="40"/>
      <c r="M310" s="40">
        <v>5000.0</v>
      </c>
    </row>
    <row r="311">
      <c r="A311" s="40" t="s">
        <v>76</v>
      </c>
      <c r="B311" s="40" t="s">
        <v>631</v>
      </c>
      <c r="C311" s="40" t="s">
        <v>632</v>
      </c>
      <c r="D311" s="40">
        <v>63.0</v>
      </c>
      <c r="E311" s="47">
        <v>22776.0</v>
      </c>
      <c r="F311" s="40" t="s">
        <v>136</v>
      </c>
      <c r="G311" s="40" t="s">
        <v>359</v>
      </c>
      <c r="H311" s="40">
        <v>29000.0</v>
      </c>
      <c r="I311" s="40" t="s">
        <v>633</v>
      </c>
      <c r="J311" s="40" t="s">
        <v>31</v>
      </c>
      <c r="K311" s="40">
        <v>38.0</v>
      </c>
      <c r="L311" s="40"/>
      <c r="M311" s="40">
        <v>68000.0</v>
      </c>
    </row>
    <row r="312">
      <c r="A312" s="40" t="s">
        <v>71</v>
      </c>
      <c r="B312" s="40" t="s">
        <v>1008</v>
      </c>
      <c r="C312" s="40">
        <v>17900.0</v>
      </c>
      <c r="D312" s="40">
        <v>44.0</v>
      </c>
      <c r="E312" s="47">
        <v>30196.0</v>
      </c>
      <c r="F312" s="40" t="s">
        <v>316</v>
      </c>
      <c r="G312" s="40"/>
      <c r="H312" s="40">
        <v>6700.0</v>
      </c>
      <c r="I312" s="40">
        <v>16500.0</v>
      </c>
      <c r="J312" s="40" t="s">
        <v>32</v>
      </c>
      <c r="K312" s="40">
        <v>38.0</v>
      </c>
      <c r="L312" s="40"/>
      <c r="M312" s="40">
        <v>15500.0</v>
      </c>
    </row>
    <row r="313">
      <c r="A313" s="40" t="s">
        <v>131</v>
      </c>
      <c r="B313" s="40" t="s">
        <v>934</v>
      </c>
      <c r="C313" s="40" t="s">
        <v>1009</v>
      </c>
      <c r="D313" s="40">
        <v>26.0</v>
      </c>
      <c r="E313" s="40">
        <v>36671.0</v>
      </c>
      <c r="F313" s="40" t="s">
        <v>78</v>
      </c>
      <c r="G313" s="40" t="s">
        <v>274</v>
      </c>
      <c r="H313" s="40">
        <v>25000.0</v>
      </c>
      <c r="I313" s="40">
        <v>1000.0</v>
      </c>
      <c r="J313" s="40" t="s">
        <v>31</v>
      </c>
      <c r="K313" s="40">
        <v>16.0</v>
      </c>
      <c r="L313" s="40"/>
      <c r="M313" s="40">
        <v>10500.0</v>
      </c>
    </row>
    <row r="314">
      <c r="A314" s="40" t="s">
        <v>71</v>
      </c>
      <c r="B314" s="40" t="s">
        <v>1010</v>
      </c>
      <c r="C314" s="40">
        <v>25200.0</v>
      </c>
      <c r="D314" s="40">
        <v>44.0</v>
      </c>
      <c r="E314" s="47">
        <v>30229.0</v>
      </c>
      <c r="F314" s="40" t="s">
        <v>136</v>
      </c>
      <c r="G314" s="40" t="s">
        <v>117</v>
      </c>
      <c r="H314" s="40">
        <v>9600.0</v>
      </c>
      <c r="I314" s="40">
        <v>66.0</v>
      </c>
      <c r="J314" s="40"/>
      <c r="K314" s="40">
        <v>11.0</v>
      </c>
      <c r="L314" s="40"/>
      <c r="M314" s="40">
        <v>4500.0</v>
      </c>
    </row>
    <row r="315">
      <c r="A315" s="40" t="s">
        <v>71</v>
      </c>
      <c r="B315" s="40" t="s">
        <v>1011</v>
      </c>
      <c r="C315" s="40">
        <v>29900.0</v>
      </c>
      <c r="D315" s="40" t="s">
        <v>368</v>
      </c>
      <c r="E315" s="40"/>
      <c r="F315" s="40" t="s">
        <v>203</v>
      </c>
      <c r="G315" s="40" t="s">
        <v>205</v>
      </c>
      <c r="H315" s="40">
        <v>21300.0</v>
      </c>
      <c r="I315" s="40">
        <v>60500.0</v>
      </c>
      <c r="J315" s="40"/>
      <c r="K315" s="40">
        <v>15.0</v>
      </c>
      <c r="L315" s="40"/>
      <c r="M315" s="40">
        <v>74500.0</v>
      </c>
    </row>
    <row r="316">
      <c r="A316" s="40" t="s">
        <v>71</v>
      </c>
      <c r="B316" s="40" t="s">
        <v>1012</v>
      </c>
      <c r="C316" s="40" t="s">
        <v>1013</v>
      </c>
      <c r="D316" s="40">
        <v>69.0</v>
      </c>
      <c r="E316" s="40">
        <v>21054.0</v>
      </c>
      <c r="F316" s="40" t="s">
        <v>258</v>
      </c>
      <c r="G316" s="40" t="s">
        <v>222</v>
      </c>
      <c r="H316" s="40">
        <v>23.8</v>
      </c>
      <c r="I316" s="40" t="s">
        <v>109</v>
      </c>
      <c r="J316" s="40"/>
      <c r="K316" s="40">
        <v>26.0</v>
      </c>
      <c r="L316" s="40"/>
      <c r="M316" s="40">
        <v>89000.0</v>
      </c>
    </row>
    <row r="317">
      <c r="A317" s="40" t="s">
        <v>71</v>
      </c>
      <c r="B317" s="40" t="s">
        <v>1014</v>
      </c>
      <c r="C317" s="40" t="s">
        <v>1015</v>
      </c>
      <c r="D317" s="40">
        <v>67.0</v>
      </c>
      <c r="E317" s="40">
        <v>21522.0</v>
      </c>
      <c r="F317" s="40" t="s">
        <v>428</v>
      </c>
      <c r="G317" s="40" t="s">
        <v>79</v>
      </c>
      <c r="H317" s="40">
        <v>11300.0</v>
      </c>
      <c r="I317" s="40">
        <v>49500.0</v>
      </c>
      <c r="J317" s="40" t="s">
        <v>31</v>
      </c>
      <c r="K317" s="40">
        <v>12.0</v>
      </c>
      <c r="L317" s="40"/>
      <c r="M317" s="40">
        <v>34500.0</v>
      </c>
    </row>
    <row r="318">
      <c r="A318" s="40" t="s">
        <v>71</v>
      </c>
      <c r="B318" s="40" t="s">
        <v>1016</v>
      </c>
      <c r="C318" s="40" t="s">
        <v>1017</v>
      </c>
      <c r="D318" s="40" t="s">
        <v>1018</v>
      </c>
      <c r="E318" s="40" t="s">
        <v>1019</v>
      </c>
      <c r="F318" s="40" t="s">
        <v>270</v>
      </c>
      <c r="G318" s="40" t="s">
        <v>270</v>
      </c>
      <c r="H318" s="40" t="s">
        <v>1020</v>
      </c>
      <c r="I318" s="40">
        <v>41000.0</v>
      </c>
      <c r="J318" s="40" t="s">
        <v>31</v>
      </c>
      <c r="K318" s="40" t="s">
        <v>1021</v>
      </c>
      <c r="L318" s="40"/>
      <c r="M318" s="40">
        <v>67000.0</v>
      </c>
    </row>
    <row r="319">
      <c r="A319" s="40" t="s">
        <v>71</v>
      </c>
      <c r="B319" s="40" t="s">
        <v>1022</v>
      </c>
      <c r="C319" s="40" t="s">
        <v>1023</v>
      </c>
      <c r="D319" s="40">
        <v>49.0</v>
      </c>
      <c r="E319" s="47">
        <v>27830.0</v>
      </c>
      <c r="F319" s="40" t="s">
        <v>100</v>
      </c>
      <c r="G319" s="40" t="s">
        <v>210</v>
      </c>
      <c r="H319" s="40">
        <v>29800.0</v>
      </c>
      <c r="I319" s="40">
        <v>54.5</v>
      </c>
      <c r="J319" s="40" t="s">
        <v>31</v>
      </c>
      <c r="K319" s="40">
        <v>34.0</v>
      </c>
      <c r="L319" s="40"/>
      <c r="M319" s="40">
        <v>72000.0</v>
      </c>
    </row>
    <row r="320">
      <c r="A320" s="40" t="s">
        <v>71</v>
      </c>
      <c r="B320" s="40" t="s">
        <v>600</v>
      </c>
      <c r="C320" s="40" t="s">
        <v>1024</v>
      </c>
      <c r="D320" s="40">
        <v>20.0</v>
      </c>
      <c r="E320" s="40" t="s">
        <v>1025</v>
      </c>
      <c r="F320" s="40" t="s">
        <v>246</v>
      </c>
      <c r="G320" s="40" t="s">
        <v>205</v>
      </c>
      <c r="H320" s="40">
        <v>18200.0</v>
      </c>
      <c r="I320" s="40"/>
      <c r="J320" s="40" t="s">
        <v>31</v>
      </c>
      <c r="K320" s="40">
        <v>21.0</v>
      </c>
      <c r="L320" s="40"/>
      <c r="M320" s="40">
        <v>61500.0</v>
      </c>
    </row>
    <row r="321">
      <c r="A321" s="40" t="s">
        <v>71</v>
      </c>
      <c r="B321" s="40" t="s">
        <v>854</v>
      </c>
      <c r="C321" s="40">
        <v>19300.0</v>
      </c>
      <c r="D321" s="40">
        <v>74.0</v>
      </c>
      <c r="E321" s="40" t="s">
        <v>855</v>
      </c>
      <c r="F321" s="40" t="s">
        <v>316</v>
      </c>
      <c r="G321" s="40" t="s">
        <v>463</v>
      </c>
      <c r="H321" s="40">
        <v>20700.0</v>
      </c>
      <c r="I321" s="40" t="s">
        <v>856</v>
      </c>
      <c r="J321" s="40" t="s">
        <v>31</v>
      </c>
      <c r="K321" s="40">
        <v>35.0</v>
      </c>
      <c r="L321" s="40"/>
      <c r="M321" s="40">
        <v>68500.0</v>
      </c>
    </row>
    <row r="322">
      <c r="A322" s="40" t="s">
        <v>76</v>
      </c>
      <c r="B322" s="40" t="s">
        <v>828</v>
      </c>
      <c r="C322" s="40">
        <v>6400.0</v>
      </c>
      <c r="D322" s="40">
        <v>57.0</v>
      </c>
      <c r="E322" s="40">
        <v>25206.0</v>
      </c>
      <c r="F322" s="40" t="s">
        <v>193</v>
      </c>
      <c r="G322" s="40" t="s">
        <v>503</v>
      </c>
      <c r="H322" s="40">
        <v>3400.0</v>
      </c>
      <c r="I322" s="40">
        <v>23500.0</v>
      </c>
      <c r="J322" s="40" t="s">
        <v>31</v>
      </c>
      <c r="K322" s="40">
        <v>20.0</v>
      </c>
      <c r="L322" s="40"/>
      <c r="M322" s="40">
        <v>50500.0</v>
      </c>
    </row>
    <row r="323">
      <c r="A323" s="40" t="s">
        <v>71</v>
      </c>
      <c r="B323" s="40" t="s">
        <v>576</v>
      </c>
      <c r="C323" s="40" t="s">
        <v>577</v>
      </c>
      <c r="D323" s="40">
        <v>56.0</v>
      </c>
      <c r="E323" s="40">
        <v>25671.0</v>
      </c>
      <c r="F323" s="40" t="s">
        <v>253</v>
      </c>
      <c r="G323" s="40" t="s">
        <v>195</v>
      </c>
      <c r="H323" s="40">
        <v>28300.0</v>
      </c>
      <c r="I323" s="40">
        <v>56000.0</v>
      </c>
      <c r="J323" s="40" t="s">
        <v>31</v>
      </c>
      <c r="K323" s="40">
        <v>6.0</v>
      </c>
      <c r="L323" s="40"/>
      <c r="M323" s="40">
        <v>84500.0</v>
      </c>
    </row>
    <row r="324">
      <c r="A324" s="40" t="s">
        <v>71</v>
      </c>
      <c r="B324" s="40" t="s">
        <v>1026</v>
      </c>
      <c r="C324" s="40" t="s">
        <v>1027</v>
      </c>
      <c r="D324" s="40">
        <v>68.0</v>
      </c>
      <c r="E324" s="40" t="s">
        <v>1028</v>
      </c>
      <c r="F324" s="40" t="s">
        <v>78</v>
      </c>
      <c r="G324" s="40" t="s">
        <v>102</v>
      </c>
      <c r="H324" s="40">
        <v>24500.0</v>
      </c>
      <c r="I324" s="40">
        <v>16500.0</v>
      </c>
      <c r="J324" s="40" t="s">
        <v>31</v>
      </c>
      <c r="K324" s="40">
        <v>22.0</v>
      </c>
      <c r="L324" s="40"/>
      <c r="M324" s="40">
        <v>34500.0</v>
      </c>
    </row>
    <row r="325">
      <c r="A325" s="40" t="s">
        <v>76</v>
      </c>
      <c r="B325" s="40" t="s">
        <v>1029</v>
      </c>
      <c r="C325" s="40" t="s">
        <v>1030</v>
      </c>
      <c r="D325" s="40">
        <v>73.0</v>
      </c>
      <c r="E325" s="40"/>
      <c r="F325" s="40" t="s">
        <v>203</v>
      </c>
      <c r="G325" s="40" t="s">
        <v>205</v>
      </c>
      <c r="H325" s="40" t="s">
        <v>1031</v>
      </c>
      <c r="I325" s="40">
        <v>47000.0</v>
      </c>
      <c r="J325" s="40" t="s">
        <v>31</v>
      </c>
      <c r="K325" s="40">
        <v>19.0</v>
      </c>
      <c r="L325" s="40"/>
      <c r="M325" s="40">
        <v>20500.0</v>
      </c>
    </row>
    <row r="326">
      <c r="A326" s="40" t="s">
        <v>71</v>
      </c>
      <c r="B326" s="40" t="s">
        <v>1032</v>
      </c>
      <c r="C326" s="40" t="s">
        <v>1033</v>
      </c>
      <c r="D326" s="40">
        <v>67.0</v>
      </c>
      <c r="E326" s="47">
        <v>21408.0</v>
      </c>
      <c r="F326" s="40" t="s">
        <v>114</v>
      </c>
      <c r="G326" s="40"/>
      <c r="H326" s="40" t="s">
        <v>1034</v>
      </c>
      <c r="I326" s="40" t="s">
        <v>977</v>
      </c>
      <c r="J326" s="40" t="s">
        <v>32</v>
      </c>
      <c r="K326" s="40">
        <v>7.0</v>
      </c>
      <c r="L326" s="40"/>
      <c r="M326" s="40">
        <v>24500.0</v>
      </c>
    </row>
    <row r="327">
      <c r="A327" s="40" t="s">
        <v>71</v>
      </c>
      <c r="B327" s="40" t="s">
        <v>1035</v>
      </c>
      <c r="C327" s="40" t="s">
        <v>1036</v>
      </c>
      <c r="D327" s="40">
        <v>54.0</v>
      </c>
      <c r="E327" s="40" t="s">
        <v>1037</v>
      </c>
      <c r="F327" s="40" t="s">
        <v>246</v>
      </c>
      <c r="G327" s="40" t="s">
        <v>236</v>
      </c>
      <c r="H327" s="40">
        <v>18700.0</v>
      </c>
      <c r="I327" s="40">
        <v>46000.0</v>
      </c>
      <c r="J327" s="40" t="s">
        <v>32</v>
      </c>
      <c r="K327" s="40">
        <v>4.0</v>
      </c>
      <c r="L327" s="40"/>
      <c r="M327" s="40">
        <v>27500.0</v>
      </c>
    </row>
    <row r="328">
      <c r="A328" s="40" t="s">
        <v>71</v>
      </c>
      <c r="B328" s="40" t="s">
        <v>619</v>
      </c>
      <c r="C328" s="40">
        <v>36900.0</v>
      </c>
      <c r="D328" s="40">
        <v>61.0</v>
      </c>
      <c r="E328" s="40">
        <v>23928.0</v>
      </c>
      <c r="F328" s="40" t="s">
        <v>428</v>
      </c>
      <c r="G328" s="40" t="s">
        <v>102</v>
      </c>
      <c r="H328" s="40">
        <v>22900.0</v>
      </c>
      <c r="I328" s="40">
        <v>7500.0</v>
      </c>
      <c r="J328" s="40" t="s">
        <v>31</v>
      </c>
      <c r="K328" s="40">
        <v>12.0</v>
      </c>
      <c r="L328" s="40"/>
      <c r="M328" s="40">
        <v>33000.0</v>
      </c>
    </row>
    <row r="329">
      <c r="A329" s="40" t="s">
        <v>71</v>
      </c>
      <c r="B329" s="40" t="s">
        <v>1032</v>
      </c>
      <c r="C329" s="40" t="s">
        <v>1038</v>
      </c>
      <c r="D329" s="40">
        <v>60.0</v>
      </c>
      <c r="E329" s="47">
        <v>23965.0</v>
      </c>
      <c r="F329" s="40" t="s">
        <v>74</v>
      </c>
      <c r="G329" s="40" t="s">
        <v>123</v>
      </c>
      <c r="H329" s="40">
        <v>22600.0</v>
      </c>
      <c r="I329" s="40" t="s">
        <v>1039</v>
      </c>
      <c r="J329" s="40" t="s">
        <v>31</v>
      </c>
      <c r="K329" s="40">
        <v>9.0</v>
      </c>
      <c r="L329" s="40"/>
      <c r="M329" s="40">
        <v>58500.0</v>
      </c>
    </row>
    <row r="330">
      <c r="A330" s="40" t="s">
        <v>71</v>
      </c>
      <c r="B330" s="40" t="s">
        <v>471</v>
      </c>
      <c r="C330" s="40">
        <v>36000.0</v>
      </c>
      <c r="D330" s="40">
        <v>26.0</v>
      </c>
      <c r="E330" s="40" t="s">
        <v>1041</v>
      </c>
      <c r="F330" s="40" t="s">
        <v>953</v>
      </c>
      <c r="G330" s="40"/>
      <c r="H330" s="40">
        <v>4800.0</v>
      </c>
      <c r="I330" s="40" t="s">
        <v>1042</v>
      </c>
      <c r="J330" s="40" t="s">
        <v>32</v>
      </c>
      <c r="K330" s="40">
        <v>6.0</v>
      </c>
      <c r="L330" s="40"/>
      <c r="M330" s="40">
        <v>56500.0</v>
      </c>
    </row>
    <row r="331">
      <c r="A331" s="40" t="s">
        <v>76</v>
      </c>
      <c r="B331" s="40" t="s">
        <v>1043</v>
      </c>
      <c r="C331" s="40">
        <v>32500.0</v>
      </c>
      <c r="D331" s="40">
        <v>48.0</v>
      </c>
      <c r="E331" s="40">
        <v>28446.0</v>
      </c>
      <c r="F331" s="40" t="s">
        <v>82</v>
      </c>
      <c r="G331" s="40" t="s">
        <v>463</v>
      </c>
      <c r="H331" s="40">
        <v>6900.0</v>
      </c>
      <c r="I331" s="40">
        <v>52500.0</v>
      </c>
      <c r="J331" s="40" t="s">
        <v>32</v>
      </c>
      <c r="K331" s="40">
        <v>0.0</v>
      </c>
      <c r="L331" s="40"/>
      <c r="M331" s="40">
        <v>66000.0</v>
      </c>
    </row>
    <row r="332">
      <c r="A332" s="40" t="s">
        <v>71</v>
      </c>
      <c r="B332" s="40" t="s">
        <v>1044</v>
      </c>
      <c r="C332" s="40" t="s">
        <v>1045</v>
      </c>
      <c r="D332" s="40">
        <v>69.0</v>
      </c>
      <c r="E332" s="40"/>
      <c r="F332" s="40" t="s">
        <v>428</v>
      </c>
      <c r="G332" s="40" t="s">
        <v>274</v>
      </c>
      <c r="H332" s="40">
        <v>11400.0</v>
      </c>
      <c r="I332" s="40">
        <v>0.0</v>
      </c>
      <c r="J332" s="40" t="s">
        <v>268</v>
      </c>
      <c r="K332" s="40">
        <v>13.0</v>
      </c>
      <c r="L332" s="40"/>
      <c r="M332" s="40">
        <v>79000.0</v>
      </c>
    </row>
    <row r="333">
      <c r="A333" s="40" t="s">
        <v>71</v>
      </c>
      <c r="B333" s="40" t="s">
        <v>219</v>
      </c>
      <c r="C333" s="40">
        <v>22300.0</v>
      </c>
      <c r="D333" s="40">
        <v>25.0</v>
      </c>
      <c r="E333" s="47">
        <v>36536.0</v>
      </c>
      <c r="F333" s="40" t="s">
        <v>221</v>
      </c>
      <c r="G333" s="40" t="s">
        <v>222</v>
      </c>
      <c r="H333" s="40">
        <v>9.4</v>
      </c>
      <c r="I333" s="40">
        <v>51500.0</v>
      </c>
      <c r="J333" s="40" t="s">
        <v>31</v>
      </c>
      <c r="K333" s="40">
        <v>14.0</v>
      </c>
      <c r="L333" s="40"/>
      <c r="M333" s="40">
        <v>74000.0</v>
      </c>
    </row>
    <row r="334">
      <c r="A334" s="40" t="s">
        <v>71</v>
      </c>
      <c r="B334" s="40" t="s">
        <v>1046</v>
      </c>
      <c r="C334" s="40" t="s">
        <v>1047</v>
      </c>
      <c r="D334" s="40">
        <v>62.0</v>
      </c>
      <c r="E334" s="40">
        <v>23317.0</v>
      </c>
      <c r="F334" s="40" t="s">
        <v>255</v>
      </c>
      <c r="G334" s="40" t="s">
        <v>205</v>
      </c>
      <c r="H334" s="40">
        <v>10500.0</v>
      </c>
      <c r="I334" s="40">
        <v>0.0</v>
      </c>
      <c r="J334" s="40" t="s">
        <v>32</v>
      </c>
      <c r="K334" s="40" t="s">
        <v>893</v>
      </c>
      <c r="L334" s="40"/>
      <c r="M334" s="40">
        <v>54500.0</v>
      </c>
    </row>
    <row r="335">
      <c r="A335" s="40" t="s">
        <v>71</v>
      </c>
      <c r="B335" s="40" t="s">
        <v>1048</v>
      </c>
      <c r="C335" s="40">
        <v>25700.0</v>
      </c>
      <c r="D335" s="40">
        <v>27.0</v>
      </c>
      <c r="E335" s="40">
        <v>36152.0</v>
      </c>
      <c r="F335" s="40" t="s">
        <v>258</v>
      </c>
      <c r="G335" s="40" t="s">
        <v>302</v>
      </c>
      <c r="H335" s="40">
        <v>30000.0</v>
      </c>
      <c r="I335" s="40">
        <v>27.0</v>
      </c>
      <c r="J335" s="40" t="s">
        <v>110</v>
      </c>
      <c r="K335" s="40">
        <v>28.0</v>
      </c>
      <c r="L335" s="40"/>
      <c r="M335" s="40">
        <v>28500.0</v>
      </c>
    </row>
    <row r="336">
      <c r="A336" s="40" t="s">
        <v>71</v>
      </c>
      <c r="B336" s="40" t="s">
        <v>1049</v>
      </c>
      <c r="C336" s="40" t="s">
        <v>1050</v>
      </c>
      <c r="D336" s="40"/>
      <c r="E336" s="47">
        <v>35006.0</v>
      </c>
      <c r="F336" s="40" t="s">
        <v>93</v>
      </c>
      <c r="G336" s="40" t="s">
        <v>280</v>
      </c>
      <c r="H336" s="40">
        <v>9000.0</v>
      </c>
      <c r="I336" s="40">
        <v>66000.0</v>
      </c>
      <c r="J336" s="40" t="s">
        <v>31</v>
      </c>
      <c r="K336" s="40">
        <v>24.0</v>
      </c>
      <c r="L336" s="40"/>
      <c r="M336" s="40">
        <v>72000.0</v>
      </c>
    </row>
    <row r="337">
      <c r="A337" s="40" t="s">
        <v>76</v>
      </c>
      <c r="B337" s="40" t="s">
        <v>376</v>
      </c>
      <c r="C337" s="40" t="s">
        <v>1051</v>
      </c>
      <c r="D337" s="40">
        <v>65.0</v>
      </c>
      <c r="E337" s="40">
        <v>22275.0</v>
      </c>
      <c r="F337" s="40" t="s">
        <v>74</v>
      </c>
      <c r="G337" s="40" t="s">
        <v>75</v>
      </c>
      <c r="H337" s="40">
        <v>3300.0</v>
      </c>
      <c r="I337" s="40">
        <v>43500.0</v>
      </c>
      <c r="J337" s="40" t="s">
        <v>31</v>
      </c>
      <c r="K337" s="40" t="s">
        <v>294</v>
      </c>
      <c r="L337" s="40"/>
      <c r="M337" s="40">
        <v>23500.0</v>
      </c>
    </row>
    <row r="338">
      <c r="A338" s="40" t="s">
        <v>71</v>
      </c>
      <c r="B338" s="40" t="s">
        <v>1052</v>
      </c>
      <c r="C338" s="40" t="s">
        <v>1054</v>
      </c>
      <c r="D338" s="40">
        <v>29.0</v>
      </c>
      <c r="E338" s="40" t="s">
        <v>1055</v>
      </c>
      <c r="F338" s="40" t="s">
        <v>342</v>
      </c>
      <c r="G338" s="40"/>
      <c r="H338" s="40" t="s">
        <v>1056</v>
      </c>
      <c r="I338" s="40">
        <v>19500.0</v>
      </c>
      <c r="J338" s="40" t="s">
        <v>31</v>
      </c>
      <c r="K338" s="40">
        <v>30.0</v>
      </c>
      <c r="L338" s="40"/>
      <c r="M338" s="40">
        <v>51000.0</v>
      </c>
    </row>
    <row r="339">
      <c r="A339" s="40" t="s">
        <v>71</v>
      </c>
      <c r="B339" s="40" t="s">
        <v>1057</v>
      </c>
      <c r="C339" s="40" t="s">
        <v>1058</v>
      </c>
      <c r="D339" s="40">
        <v>55.0</v>
      </c>
      <c r="E339" s="40">
        <v>25844.0</v>
      </c>
      <c r="F339" s="40" t="s">
        <v>258</v>
      </c>
      <c r="G339" s="40" t="s">
        <v>302</v>
      </c>
      <c r="H339" s="40">
        <v>17.4</v>
      </c>
      <c r="I339" s="40" t="s">
        <v>1059</v>
      </c>
      <c r="J339" s="40" t="s">
        <v>31</v>
      </c>
      <c r="K339" s="40">
        <v>9.0</v>
      </c>
      <c r="L339" s="40"/>
      <c r="M339" s="40">
        <v>52000.0</v>
      </c>
    </row>
    <row r="340">
      <c r="A340" s="40" t="s">
        <v>76</v>
      </c>
      <c r="B340" s="40" t="s">
        <v>836</v>
      </c>
      <c r="C340" s="40">
        <v>34000.0</v>
      </c>
      <c r="D340" s="40">
        <v>38.0</v>
      </c>
      <c r="E340" s="47">
        <v>31970.0</v>
      </c>
      <c r="F340" s="40" t="s">
        <v>78</v>
      </c>
      <c r="G340" s="40" t="s">
        <v>218</v>
      </c>
      <c r="H340" s="40">
        <v>15.8</v>
      </c>
      <c r="I340" s="40">
        <v>14500.0</v>
      </c>
      <c r="J340" s="40" t="s">
        <v>31</v>
      </c>
      <c r="K340" s="40">
        <v>4.0</v>
      </c>
      <c r="L340" s="40"/>
      <c r="M340" s="40">
        <v>21000.0</v>
      </c>
    </row>
    <row r="341">
      <c r="A341" s="40" t="s">
        <v>71</v>
      </c>
      <c r="B341" s="40" t="s">
        <v>1060</v>
      </c>
      <c r="C341" s="40">
        <v>2200.0</v>
      </c>
      <c r="D341" s="40">
        <v>58.0</v>
      </c>
      <c r="E341" s="40">
        <v>24840.0</v>
      </c>
      <c r="F341" s="40" t="s">
        <v>342</v>
      </c>
      <c r="G341" s="40" t="s">
        <v>343</v>
      </c>
      <c r="H341" s="40" t="s">
        <v>1061</v>
      </c>
      <c r="I341" s="40" t="s">
        <v>1062</v>
      </c>
      <c r="J341" s="40" t="s">
        <v>31</v>
      </c>
      <c r="K341" s="40">
        <v>36.0</v>
      </c>
      <c r="L341" s="40"/>
      <c r="M341" s="40">
        <v>9000.0</v>
      </c>
    </row>
    <row r="342">
      <c r="A342" s="40" t="s">
        <v>71</v>
      </c>
      <c r="B342" s="40" t="s">
        <v>1063</v>
      </c>
      <c r="C342" s="40" t="s">
        <v>1064</v>
      </c>
      <c r="D342" s="40"/>
      <c r="E342" s="40" t="s">
        <v>1065</v>
      </c>
      <c r="F342" s="40" t="s">
        <v>253</v>
      </c>
      <c r="G342" s="40" t="s">
        <v>195</v>
      </c>
      <c r="H342" s="40">
        <v>9600.0</v>
      </c>
      <c r="I342" s="40" t="s">
        <v>809</v>
      </c>
      <c r="J342" s="40" t="s">
        <v>31</v>
      </c>
      <c r="K342" s="40">
        <v>27.0</v>
      </c>
      <c r="L342" s="40"/>
      <c r="M342" s="40">
        <v>25000.0</v>
      </c>
    </row>
    <row r="343">
      <c r="A343" s="40" t="s">
        <v>76</v>
      </c>
      <c r="B343" s="40" t="s">
        <v>1066</v>
      </c>
      <c r="C343" s="40">
        <v>11600.0</v>
      </c>
      <c r="D343" s="40"/>
      <c r="E343" s="40">
        <v>32890.0</v>
      </c>
      <c r="F343" s="40" t="s">
        <v>193</v>
      </c>
      <c r="G343" s="40" t="s">
        <v>503</v>
      </c>
      <c r="H343" s="40">
        <v>28.1</v>
      </c>
      <c r="I343" s="40">
        <v>36.5</v>
      </c>
      <c r="J343" s="40" t="s">
        <v>31</v>
      </c>
      <c r="K343" s="40">
        <v>13.0</v>
      </c>
      <c r="L343" s="40"/>
      <c r="M343" s="40">
        <v>5000.0</v>
      </c>
    </row>
    <row r="344">
      <c r="A344" s="40" t="s">
        <v>76</v>
      </c>
      <c r="B344" s="40" t="s">
        <v>946</v>
      </c>
      <c r="C344" s="40">
        <v>20300.0</v>
      </c>
      <c r="D344" s="40">
        <v>46.0</v>
      </c>
      <c r="E344" s="40" t="s">
        <v>1067</v>
      </c>
      <c r="F344" s="40" t="s">
        <v>253</v>
      </c>
      <c r="G344" s="40" t="s">
        <v>230</v>
      </c>
      <c r="H344" s="40"/>
      <c r="I344" s="40">
        <v>37500.0</v>
      </c>
      <c r="J344" s="40" t="s">
        <v>31</v>
      </c>
      <c r="K344" s="40"/>
      <c r="L344" s="40"/>
      <c r="M344" s="40">
        <v>77000.0</v>
      </c>
    </row>
    <row r="345">
      <c r="A345" s="40" t="s">
        <v>76</v>
      </c>
      <c r="B345" s="40" t="s">
        <v>504</v>
      </c>
      <c r="C345" s="40" t="s">
        <v>505</v>
      </c>
      <c r="D345" s="40">
        <v>30.0</v>
      </c>
      <c r="E345" s="40" t="s">
        <v>506</v>
      </c>
      <c r="F345" s="40" t="s">
        <v>136</v>
      </c>
      <c r="G345" s="40" t="s">
        <v>359</v>
      </c>
      <c r="H345" s="40">
        <v>26500.0</v>
      </c>
      <c r="I345" s="40">
        <v>14500.0</v>
      </c>
      <c r="J345" s="40">
        <v>0.0</v>
      </c>
      <c r="K345" s="40">
        <v>15.0</v>
      </c>
      <c r="L345" s="40"/>
      <c r="M345" s="40">
        <v>39000.0</v>
      </c>
    </row>
    <row r="346">
      <c r="A346" s="40" t="s">
        <v>71</v>
      </c>
      <c r="B346" s="40" t="s">
        <v>1068</v>
      </c>
      <c r="C346" s="40" t="s">
        <v>1069</v>
      </c>
      <c r="D346" s="40">
        <v>60.0</v>
      </c>
      <c r="E346" s="40">
        <v>24202.0</v>
      </c>
      <c r="F346" s="40" t="s">
        <v>428</v>
      </c>
      <c r="G346" s="40" t="s">
        <v>102</v>
      </c>
      <c r="H346" s="40" t="s">
        <v>791</v>
      </c>
      <c r="I346" s="40">
        <v>0.0</v>
      </c>
      <c r="J346" s="40" t="s">
        <v>277</v>
      </c>
      <c r="K346" s="40">
        <v>26.0</v>
      </c>
      <c r="L346" s="40"/>
      <c r="M346" s="40">
        <v>52500.0</v>
      </c>
    </row>
    <row r="347">
      <c r="A347" s="40" t="s">
        <v>71</v>
      </c>
      <c r="B347" s="40" t="s">
        <v>1070</v>
      </c>
      <c r="C347" s="40" t="s">
        <v>1071</v>
      </c>
      <c r="D347" s="40">
        <v>43.0</v>
      </c>
      <c r="E347" s="40">
        <v>30437.0</v>
      </c>
      <c r="F347" s="40" t="s">
        <v>316</v>
      </c>
      <c r="G347" s="40" t="s">
        <v>107</v>
      </c>
      <c r="H347" s="40">
        <v>14600.0</v>
      </c>
      <c r="I347" s="40">
        <v>18500.0</v>
      </c>
      <c r="J347" s="40" t="s">
        <v>268</v>
      </c>
      <c r="K347" s="40">
        <v>22.0</v>
      </c>
      <c r="L347" s="40"/>
      <c r="M347" s="40">
        <v>16500.0</v>
      </c>
    </row>
    <row r="348">
      <c r="A348" s="40" t="s">
        <v>259</v>
      </c>
      <c r="B348" s="40" t="s">
        <v>982</v>
      </c>
      <c r="C348" s="40">
        <v>33100.0</v>
      </c>
      <c r="D348" s="40"/>
      <c r="E348" s="40">
        <v>36759.0</v>
      </c>
      <c r="F348" s="40" t="s">
        <v>270</v>
      </c>
      <c r="G348" s="40" t="s">
        <v>270</v>
      </c>
      <c r="H348" s="40">
        <v>23200.0</v>
      </c>
      <c r="I348" s="40">
        <v>54500.0</v>
      </c>
      <c r="J348" s="40">
        <v>1.0</v>
      </c>
      <c r="K348" s="40">
        <v>26.0</v>
      </c>
      <c r="L348" s="40"/>
      <c r="M348" s="40">
        <v>39500.0</v>
      </c>
    </row>
    <row r="349">
      <c r="A349" s="40" t="s">
        <v>71</v>
      </c>
      <c r="B349" s="40" t="s">
        <v>568</v>
      </c>
      <c r="C349" s="40" t="s">
        <v>569</v>
      </c>
      <c r="D349" s="40">
        <v>53.0</v>
      </c>
      <c r="E349" s="51">
        <v>26643.0</v>
      </c>
      <c r="F349" s="40" t="s">
        <v>246</v>
      </c>
      <c r="G349" s="40" t="s">
        <v>205</v>
      </c>
      <c r="H349" s="40">
        <v>12200.0</v>
      </c>
      <c r="I349" s="40" t="s">
        <v>542</v>
      </c>
      <c r="J349" s="40" t="s">
        <v>277</v>
      </c>
      <c r="K349" s="40">
        <v>45.0</v>
      </c>
      <c r="L349" s="40"/>
      <c r="M349" s="40">
        <v>62000.0</v>
      </c>
    </row>
    <row r="350">
      <c r="A350" s="40" t="s">
        <v>259</v>
      </c>
      <c r="B350" s="40" t="s">
        <v>1073</v>
      </c>
      <c r="C350" s="40" t="s">
        <v>1074</v>
      </c>
      <c r="D350" s="40">
        <v>19.0</v>
      </c>
      <c r="E350" s="47">
        <v>39268.0</v>
      </c>
      <c r="F350" s="40" t="s">
        <v>306</v>
      </c>
      <c r="G350" s="40" t="s">
        <v>222</v>
      </c>
      <c r="H350" s="40" t="s">
        <v>664</v>
      </c>
      <c r="I350" s="40">
        <v>16000.0</v>
      </c>
      <c r="J350" s="40" t="s">
        <v>31</v>
      </c>
      <c r="K350" s="40">
        <v>5.0</v>
      </c>
      <c r="L350" s="40"/>
      <c r="M350" s="40">
        <v>52000.0</v>
      </c>
    </row>
    <row r="351">
      <c r="A351" s="40" t="s">
        <v>76</v>
      </c>
      <c r="B351" s="40" t="s">
        <v>1075</v>
      </c>
      <c r="C351" s="40">
        <v>11700.0</v>
      </c>
      <c r="D351" s="40">
        <v>27.0</v>
      </c>
      <c r="E351" s="40">
        <v>36151.0</v>
      </c>
      <c r="F351" s="40" t="s">
        <v>255</v>
      </c>
      <c r="G351" s="40" t="s">
        <v>205</v>
      </c>
      <c r="H351" s="40" t="s">
        <v>1076</v>
      </c>
      <c r="I351" s="40">
        <v>0.0</v>
      </c>
      <c r="J351" s="40" t="s">
        <v>32</v>
      </c>
      <c r="K351" s="40">
        <v>10.0</v>
      </c>
      <c r="L351" s="40"/>
      <c r="M351" s="40">
        <v>5000.0</v>
      </c>
    </row>
    <row r="352">
      <c r="A352" s="40" t="s">
        <v>71</v>
      </c>
      <c r="B352" s="40" t="s">
        <v>1078</v>
      </c>
      <c r="C352" s="40" t="s">
        <v>1079</v>
      </c>
      <c r="D352" s="40">
        <v>44.0</v>
      </c>
      <c r="E352" s="40">
        <v>29892.0</v>
      </c>
      <c r="F352" s="40" t="s">
        <v>93</v>
      </c>
      <c r="G352" s="40" t="s">
        <v>94</v>
      </c>
      <c r="H352" s="40">
        <v>20600.0</v>
      </c>
      <c r="I352" s="40">
        <v>8000.0</v>
      </c>
      <c r="J352" s="40" t="s">
        <v>31</v>
      </c>
      <c r="K352" s="40">
        <v>39.0</v>
      </c>
      <c r="L352" s="40"/>
      <c r="M352" s="40">
        <v>36000.0</v>
      </c>
    </row>
    <row r="353">
      <c r="A353" s="40" t="s">
        <v>71</v>
      </c>
      <c r="B353" s="40" t="s">
        <v>1080</v>
      </c>
      <c r="C353" s="40" t="s">
        <v>1081</v>
      </c>
      <c r="D353" s="40">
        <v>48.0</v>
      </c>
      <c r="E353" s="40">
        <v>28689.0</v>
      </c>
      <c r="F353" s="40" t="s">
        <v>78</v>
      </c>
      <c r="G353" s="40" t="s">
        <v>102</v>
      </c>
      <c r="H353" s="40" t="s">
        <v>426</v>
      </c>
      <c r="I353" s="40">
        <v>11000.0</v>
      </c>
      <c r="J353" s="40" t="s">
        <v>31</v>
      </c>
      <c r="K353" s="40">
        <v>28.0</v>
      </c>
      <c r="L353" s="40"/>
      <c r="M353" s="40">
        <v>18000.0</v>
      </c>
    </row>
    <row r="354">
      <c r="A354" s="40" t="s">
        <v>71</v>
      </c>
      <c r="B354" s="40" t="s">
        <v>1082</v>
      </c>
      <c r="C354" s="40">
        <v>8200.0</v>
      </c>
      <c r="D354" s="40">
        <v>20.0</v>
      </c>
      <c r="E354" s="40">
        <v>38894.0</v>
      </c>
      <c r="F354" s="40" t="s">
        <v>234</v>
      </c>
      <c r="G354" s="40" t="s">
        <v>262</v>
      </c>
      <c r="H354" s="40">
        <v>24900.0</v>
      </c>
      <c r="I354" s="40">
        <v>0.0</v>
      </c>
      <c r="J354" s="40" t="s">
        <v>32</v>
      </c>
      <c r="K354" s="40">
        <v>14.0</v>
      </c>
      <c r="L354" s="40"/>
      <c r="M354" s="40">
        <v>49500.0</v>
      </c>
    </row>
    <row r="355">
      <c r="A355" s="40" t="s">
        <v>76</v>
      </c>
      <c r="B355" s="40" t="s">
        <v>1083</v>
      </c>
      <c r="C355" s="40">
        <v>23000.0</v>
      </c>
      <c r="D355" s="40">
        <v>53.0</v>
      </c>
      <c r="E355" s="40">
        <v>26744.0</v>
      </c>
      <c r="F355" s="40" t="s">
        <v>100</v>
      </c>
      <c r="G355" s="40" t="s">
        <v>210</v>
      </c>
      <c r="H355" s="40" t="s">
        <v>1084</v>
      </c>
      <c r="I355" s="40">
        <v>9500.0</v>
      </c>
      <c r="J355" s="40" t="s">
        <v>110</v>
      </c>
      <c r="K355" s="40">
        <v>21.0</v>
      </c>
      <c r="L355" s="40"/>
      <c r="M355" s="40">
        <v>16000.0</v>
      </c>
    </row>
    <row r="356">
      <c r="A356" s="40" t="s">
        <v>76</v>
      </c>
      <c r="B356" s="40" t="s">
        <v>1085</v>
      </c>
      <c r="C356" s="40" t="s">
        <v>1086</v>
      </c>
      <c r="D356" s="40">
        <v>31.0</v>
      </c>
      <c r="E356" s="40">
        <v>34824.0</v>
      </c>
      <c r="F356" s="40" t="s">
        <v>428</v>
      </c>
      <c r="G356" s="40" t="s">
        <v>102</v>
      </c>
      <c r="H356" s="40" t="s">
        <v>539</v>
      </c>
      <c r="I356" s="40">
        <v>5000.0</v>
      </c>
      <c r="J356" s="40" t="s">
        <v>31</v>
      </c>
      <c r="K356" s="40">
        <v>22.0</v>
      </c>
      <c r="L356" s="40"/>
      <c r="M356" s="40">
        <v>18000.0</v>
      </c>
    </row>
    <row r="357">
      <c r="A357" s="40" t="s">
        <v>71</v>
      </c>
      <c r="B357" s="40" t="s">
        <v>1087</v>
      </c>
      <c r="C357" s="40" t="s">
        <v>1088</v>
      </c>
      <c r="D357" s="40">
        <v>32.0</v>
      </c>
      <c r="E357" s="40">
        <v>34508.0</v>
      </c>
      <c r="F357" s="40" t="s">
        <v>270</v>
      </c>
      <c r="G357" s="40" t="s">
        <v>270</v>
      </c>
      <c r="H357" s="40">
        <v>9800.0</v>
      </c>
      <c r="I357" s="40">
        <v>0.0</v>
      </c>
      <c r="J357" s="40" t="s">
        <v>31</v>
      </c>
      <c r="K357" s="40">
        <v>23.0</v>
      </c>
      <c r="L357" s="40"/>
      <c r="M357" s="40">
        <v>68000.0</v>
      </c>
    </row>
    <row r="358">
      <c r="A358" s="40" t="s">
        <v>76</v>
      </c>
      <c r="B358" s="40" t="s">
        <v>1089</v>
      </c>
      <c r="C358" s="40" t="s">
        <v>1090</v>
      </c>
      <c r="D358" s="40">
        <v>51.0</v>
      </c>
      <c r="E358" s="40">
        <v>27590.0</v>
      </c>
      <c r="F358" s="40" t="s">
        <v>306</v>
      </c>
      <c r="G358" s="40" t="s">
        <v>222</v>
      </c>
      <c r="H358" s="40" t="s">
        <v>1091</v>
      </c>
      <c r="I358" s="40">
        <v>0.0</v>
      </c>
      <c r="J358" s="40" t="s">
        <v>31</v>
      </c>
      <c r="K358" s="40">
        <v>17.0</v>
      </c>
      <c r="L358" s="40"/>
      <c r="M358" s="40">
        <v>55500.0</v>
      </c>
    </row>
    <row r="359">
      <c r="A359" s="40"/>
      <c r="B359" s="40" t="s">
        <v>1092</v>
      </c>
      <c r="C359" s="40" t="s">
        <v>1093</v>
      </c>
      <c r="D359" s="40">
        <v>54.0</v>
      </c>
      <c r="E359" s="40" t="s">
        <v>1094</v>
      </c>
      <c r="F359" s="40" t="s">
        <v>306</v>
      </c>
      <c r="G359" s="40" t="s">
        <v>222</v>
      </c>
      <c r="H359" s="40" t="s">
        <v>1095</v>
      </c>
      <c r="I359" s="40" t="s">
        <v>588</v>
      </c>
      <c r="J359" s="40" t="s">
        <v>277</v>
      </c>
      <c r="K359" s="40">
        <v>32.0</v>
      </c>
      <c r="L359" s="40"/>
      <c r="M359" s="40">
        <v>31500.0</v>
      </c>
    </row>
    <row r="360">
      <c r="A360" s="40" t="s">
        <v>76</v>
      </c>
      <c r="B360" s="40" t="s">
        <v>1096</v>
      </c>
      <c r="C360" s="40" t="s">
        <v>1097</v>
      </c>
      <c r="D360" s="40">
        <v>66.0</v>
      </c>
      <c r="E360" s="47">
        <v>22013.0</v>
      </c>
      <c r="F360" s="40" t="s">
        <v>115</v>
      </c>
      <c r="G360" s="40" t="s">
        <v>359</v>
      </c>
      <c r="H360" s="40">
        <v>16800.0</v>
      </c>
      <c r="I360" s="40">
        <v>79500.0</v>
      </c>
      <c r="J360" s="40" t="s">
        <v>31</v>
      </c>
      <c r="K360" s="40">
        <v>36.0</v>
      </c>
      <c r="L360" s="40"/>
      <c r="M360" s="40">
        <v>1500.0</v>
      </c>
    </row>
    <row r="361">
      <c r="A361" s="40" t="s">
        <v>76</v>
      </c>
      <c r="B361" s="40" t="s">
        <v>946</v>
      </c>
      <c r="C361" s="40">
        <v>20300.0</v>
      </c>
      <c r="D361" s="40">
        <v>46.0</v>
      </c>
      <c r="E361" s="40" t="s">
        <v>1067</v>
      </c>
      <c r="F361" s="40" t="s">
        <v>253</v>
      </c>
      <c r="G361" s="40" t="s">
        <v>230</v>
      </c>
      <c r="H361" s="40"/>
      <c r="I361" s="40">
        <v>37500.0</v>
      </c>
      <c r="J361" s="40" t="s">
        <v>31</v>
      </c>
      <c r="K361" s="40"/>
      <c r="L361" s="40"/>
      <c r="M361" s="40">
        <v>21500.0</v>
      </c>
    </row>
    <row r="362">
      <c r="A362" s="40" t="s">
        <v>71</v>
      </c>
      <c r="B362" s="40" t="s">
        <v>1098</v>
      </c>
      <c r="C362" s="40" t="s">
        <v>1099</v>
      </c>
      <c r="D362" s="40">
        <v>22.0</v>
      </c>
      <c r="E362" s="47">
        <v>38115.0</v>
      </c>
      <c r="F362" s="40" t="s">
        <v>74</v>
      </c>
      <c r="G362" s="40" t="s">
        <v>75</v>
      </c>
      <c r="H362" s="40">
        <v>10500.0</v>
      </c>
      <c r="I362" s="40">
        <v>50.5</v>
      </c>
      <c r="J362" s="40" t="s">
        <v>31</v>
      </c>
      <c r="K362" s="40">
        <v>16.0</v>
      </c>
      <c r="L362" s="40"/>
      <c r="M362" s="40">
        <v>41500.0</v>
      </c>
    </row>
    <row r="363">
      <c r="A363" s="40" t="s">
        <v>71</v>
      </c>
      <c r="B363" s="40" t="s">
        <v>1100</v>
      </c>
      <c r="C363" s="40">
        <v>21400.0</v>
      </c>
      <c r="D363" s="40">
        <v>67.0</v>
      </c>
      <c r="E363" s="40" t="s">
        <v>1101</v>
      </c>
      <c r="F363" s="40" t="s">
        <v>115</v>
      </c>
      <c r="G363" s="40" t="s">
        <v>117</v>
      </c>
      <c r="H363" s="40">
        <v>10700.0</v>
      </c>
      <c r="I363" s="40" t="s">
        <v>688</v>
      </c>
      <c r="J363" s="40" t="s">
        <v>31</v>
      </c>
      <c r="K363" s="40">
        <v>37.0</v>
      </c>
      <c r="L363" s="40"/>
      <c r="M363" s="40">
        <v>53000.0</v>
      </c>
    </row>
    <row r="364">
      <c r="A364" s="40" t="s">
        <v>71</v>
      </c>
      <c r="B364" s="40" t="s">
        <v>1102</v>
      </c>
      <c r="C364" s="40" t="s">
        <v>1103</v>
      </c>
      <c r="D364" s="40">
        <v>53.0</v>
      </c>
      <c r="E364" s="47">
        <v>26820.0</v>
      </c>
      <c r="F364" s="40" t="s">
        <v>136</v>
      </c>
      <c r="G364" s="40" t="s">
        <v>117</v>
      </c>
      <c r="H364" s="40" t="s">
        <v>271</v>
      </c>
      <c r="I364" s="40" t="s">
        <v>1104</v>
      </c>
      <c r="J364" s="40" t="s">
        <v>32</v>
      </c>
      <c r="K364" s="40">
        <v>44.0</v>
      </c>
      <c r="L364" s="40"/>
      <c r="M364" s="40">
        <v>3500.0</v>
      </c>
    </row>
    <row r="365">
      <c r="A365" s="40" t="s">
        <v>76</v>
      </c>
      <c r="B365" s="40" t="s">
        <v>1105</v>
      </c>
      <c r="C365" s="40">
        <v>3200.0</v>
      </c>
      <c r="D365" s="40">
        <v>31.0</v>
      </c>
      <c r="E365" s="40">
        <v>34746.0</v>
      </c>
      <c r="F365" s="40" t="s">
        <v>136</v>
      </c>
      <c r="G365" s="40" t="s">
        <v>359</v>
      </c>
      <c r="H365" s="40" t="s">
        <v>1106</v>
      </c>
      <c r="I365" s="40">
        <v>78500.0</v>
      </c>
      <c r="J365" s="40" t="s">
        <v>31</v>
      </c>
      <c r="K365" s="40">
        <v>9.0</v>
      </c>
      <c r="L365" s="40"/>
      <c r="M365" s="40">
        <v>73000.0</v>
      </c>
    </row>
    <row r="366">
      <c r="A366" s="40" t="s">
        <v>71</v>
      </c>
      <c r="B366" s="40" t="s">
        <v>370</v>
      </c>
      <c r="C366" s="40" t="s">
        <v>1107</v>
      </c>
      <c r="D366" s="40">
        <v>41.0</v>
      </c>
      <c r="E366" s="40">
        <v>31156.0</v>
      </c>
      <c r="F366" s="40" t="s">
        <v>246</v>
      </c>
      <c r="G366" s="40" t="s">
        <v>236</v>
      </c>
      <c r="H366" s="40" t="s">
        <v>919</v>
      </c>
      <c r="I366" s="40" t="s">
        <v>1108</v>
      </c>
      <c r="J366" s="40" t="s">
        <v>31</v>
      </c>
      <c r="K366" s="40">
        <v>5.0</v>
      </c>
      <c r="L366" s="40"/>
      <c r="M366" s="40">
        <v>75000.0</v>
      </c>
    </row>
    <row r="367">
      <c r="A367" s="40" t="s">
        <v>76</v>
      </c>
      <c r="B367" s="40" t="s">
        <v>1109</v>
      </c>
      <c r="C367" s="40">
        <v>20600.0</v>
      </c>
      <c r="D367" s="40">
        <v>55.0</v>
      </c>
      <c r="E367" s="40">
        <v>26075.0</v>
      </c>
      <c r="F367" s="40" t="s">
        <v>74</v>
      </c>
      <c r="G367" s="40" t="s">
        <v>75</v>
      </c>
      <c r="H367" s="40" t="s">
        <v>1110</v>
      </c>
      <c r="I367" s="40">
        <v>67.5</v>
      </c>
      <c r="J367" s="40" t="s">
        <v>31</v>
      </c>
      <c r="K367" s="40">
        <v>15.0</v>
      </c>
      <c r="L367" s="40"/>
      <c r="M367" s="40">
        <v>20000.0</v>
      </c>
    </row>
    <row r="368">
      <c r="A368" s="40" t="s">
        <v>71</v>
      </c>
      <c r="B368" s="40" t="s">
        <v>1111</v>
      </c>
      <c r="C368" s="40" t="s">
        <v>1112</v>
      </c>
      <c r="D368" s="40">
        <v>60.0</v>
      </c>
      <c r="E368" s="40">
        <v>24272.0</v>
      </c>
      <c r="F368" s="40" t="s">
        <v>306</v>
      </c>
      <c r="G368" s="40" t="s">
        <v>302</v>
      </c>
      <c r="H368" s="40">
        <v>17300.0</v>
      </c>
      <c r="I368" s="40" t="s">
        <v>1113</v>
      </c>
      <c r="J368" s="40" t="s">
        <v>31</v>
      </c>
      <c r="K368" s="40">
        <v>17.0</v>
      </c>
      <c r="L368" s="40"/>
      <c r="M368" s="40">
        <v>69000.0</v>
      </c>
    </row>
    <row r="369">
      <c r="A369" s="40" t="s">
        <v>71</v>
      </c>
      <c r="B369" s="40" t="s">
        <v>1114</v>
      </c>
      <c r="C369" s="40">
        <v>3300.0</v>
      </c>
      <c r="D369" s="40">
        <v>31.0</v>
      </c>
      <c r="E369" s="62">
        <v>34914.0</v>
      </c>
      <c r="F369" s="40" t="s">
        <v>100</v>
      </c>
      <c r="G369" s="40" t="s">
        <v>210</v>
      </c>
      <c r="H369" s="40" t="s">
        <v>1095</v>
      </c>
      <c r="I369" s="63">
        <v>17500.0</v>
      </c>
      <c r="J369" s="63" t="s">
        <v>31</v>
      </c>
      <c r="K369" s="40">
        <v>35.0</v>
      </c>
      <c r="L369" s="40" t="s">
        <v>31</v>
      </c>
      <c r="M369" s="40">
        <v>58000.0</v>
      </c>
    </row>
    <row r="370">
      <c r="A370" s="40" t="s">
        <v>71</v>
      </c>
      <c r="B370" s="40" t="s">
        <v>1115</v>
      </c>
      <c r="C370" s="40">
        <v>25500.0</v>
      </c>
      <c r="D370" s="40">
        <v>70.0</v>
      </c>
      <c r="E370" s="62">
        <v>20681.0</v>
      </c>
      <c r="F370" s="40" t="s">
        <v>455</v>
      </c>
      <c r="G370" s="40"/>
      <c r="H370" s="40" t="s">
        <v>1116</v>
      </c>
      <c r="I370" s="40" t="s">
        <v>665</v>
      </c>
      <c r="J370" s="40" t="s">
        <v>31</v>
      </c>
      <c r="K370" s="40">
        <v>18.0</v>
      </c>
      <c r="L370" s="40" t="s">
        <v>31</v>
      </c>
      <c r="M370" s="40">
        <v>91000.0</v>
      </c>
    </row>
    <row r="371">
      <c r="A371" s="40" t="s">
        <v>728</v>
      </c>
      <c r="B371" s="40" t="s">
        <v>1117</v>
      </c>
      <c r="C371" s="40" t="s">
        <v>1118</v>
      </c>
      <c r="D371" s="40">
        <v>57.0</v>
      </c>
      <c r="E371" s="62">
        <v>25147.0</v>
      </c>
      <c r="F371" s="40" t="s">
        <v>306</v>
      </c>
      <c r="G371" s="40" t="s">
        <v>222</v>
      </c>
      <c r="H371" s="40" t="s">
        <v>638</v>
      </c>
      <c r="I371" s="40">
        <v>75500.0</v>
      </c>
      <c r="J371" s="40" t="s">
        <v>32</v>
      </c>
      <c r="K371" s="40">
        <v>25.0</v>
      </c>
      <c r="L371" s="40" t="s">
        <v>32</v>
      </c>
      <c r="M371" s="40">
        <v>44000.0</v>
      </c>
    </row>
    <row r="372">
      <c r="A372" s="40" t="s">
        <v>71</v>
      </c>
      <c r="B372" s="40" t="s">
        <v>1119</v>
      </c>
      <c r="C372" s="40" t="s">
        <v>1120</v>
      </c>
      <c r="D372" s="40">
        <v>28.0</v>
      </c>
      <c r="E372" s="40">
        <v>35948.0</v>
      </c>
      <c r="F372" s="40" t="s">
        <v>535</v>
      </c>
      <c r="G372" s="40"/>
      <c r="H372" s="40">
        <v>14600.0</v>
      </c>
      <c r="I372" s="40" t="s">
        <v>441</v>
      </c>
      <c r="J372" s="40">
        <v>1.0</v>
      </c>
      <c r="K372" s="40">
        <v>22.0</v>
      </c>
      <c r="L372" s="40">
        <v>1.0</v>
      </c>
      <c r="M372" s="40">
        <v>99000.0</v>
      </c>
    </row>
    <row r="373">
      <c r="A373" s="40" t="s">
        <v>71</v>
      </c>
      <c r="B373" s="40" t="s">
        <v>1121</v>
      </c>
      <c r="C373" s="40" t="s">
        <v>1122</v>
      </c>
      <c r="D373" s="40">
        <v>50.0</v>
      </c>
      <c r="E373" s="40">
        <v>27729.0</v>
      </c>
      <c r="F373" s="40" t="s">
        <v>82</v>
      </c>
      <c r="G373" s="40" t="s">
        <v>463</v>
      </c>
      <c r="H373" s="40">
        <v>22800.0</v>
      </c>
      <c r="I373" s="63">
        <v>70000.0</v>
      </c>
      <c r="J373" s="40" t="s">
        <v>32</v>
      </c>
      <c r="K373" s="40">
        <v>14.0</v>
      </c>
      <c r="L373" s="40" t="s">
        <v>32</v>
      </c>
      <c r="M373" s="40">
        <v>25500.0</v>
      </c>
    </row>
    <row r="374">
      <c r="A374" s="40" t="s">
        <v>76</v>
      </c>
      <c r="B374" s="40" t="s">
        <v>936</v>
      </c>
      <c r="C374" s="40" t="s">
        <v>1123</v>
      </c>
      <c r="D374" s="40">
        <v>68.0</v>
      </c>
      <c r="E374" s="62">
        <v>21190.0</v>
      </c>
      <c r="F374" s="40" t="s">
        <v>203</v>
      </c>
      <c r="G374" s="40" t="s">
        <v>236</v>
      </c>
      <c r="H374" s="40">
        <v>2800.0</v>
      </c>
      <c r="I374" s="40">
        <v>76000.0</v>
      </c>
      <c r="J374" s="40" t="s">
        <v>31</v>
      </c>
      <c r="K374" s="40" t="s">
        <v>204</v>
      </c>
      <c r="L374" s="40" t="s">
        <v>31</v>
      </c>
      <c r="M374" s="40">
        <v>27000.0</v>
      </c>
    </row>
    <row r="375">
      <c r="A375" s="40" t="s">
        <v>71</v>
      </c>
      <c r="B375" s="40" t="s">
        <v>1124</v>
      </c>
      <c r="C375" s="40" t="s">
        <v>1125</v>
      </c>
      <c r="D375" s="40">
        <v>40.0</v>
      </c>
      <c r="E375" s="62">
        <v>31458.0</v>
      </c>
      <c r="F375" s="40" t="s">
        <v>957</v>
      </c>
      <c r="G375" s="40"/>
      <c r="H375" s="40" t="s">
        <v>847</v>
      </c>
      <c r="I375" s="40" t="s">
        <v>801</v>
      </c>
      <c r="J375" s="40" t="s">
        <v>31</v>
      </c>
      <c r="K375" s="40">
        <v>6.0</v>
      </c>
      <c r="L375" s="40" t="s">
        <v>31</v>
      </c>
      <c r="M375" s="40">
        <v>62500.0</v>
      </c>
    </row>
    <row r="376">
      <c r="A376" s="40"/>
      <c r="B376" s="40" t="s">
        <v>1092</v>
      </c>
      <c r="C376" s="40" t="s">
        <v>1126</v>
      </c>
      <c r="D376" s="40">
        <v>61.0</v>
      </c>
      <c r="E376" s="40">
        <v>23834.0</v>
      </c>
      <c r="F376" s="40" t="s">
        <v>306</v>
      </c>
      <c r="G376" s="40" t="s">
        <v>222</v>
      </c>
      <c r="H376" s="63">
        <v>9100.0</v>
      </c>
      <c r="I376" s="40" t="s">
        <v>1127</v>
      </c>
      <c r="J376" s="40" t="s">
        <v>31</v>
      </c>
      <c r="K376" s="40">
        <v>1.0</v>
      </c>
      <c r="L376" s="40" t="s">
        <v>31</v>
      </c>
      <c r="M376" s="40">
        <v>48000.0</v>
      </c>
    </row>
    <row r="377">
      <c r="A377" s="40" t="s">
        <v>71</v>
      </c>
      <c r="B377" s="40" t="s">
        <v>1128</v>
      </c>
      <c r="C377" s="40" t="s">
        <v>1129</v>
      </c>
      <c r="D377" s="40">
        <v>45.0</v>
      </c>
      <c r="E377" s="64">
        <v>29575.0</v>
      </c>
      <c r="F377" s="40" t="s">
        <v>136</v>
      </c>
      <c r="G377" s="40" t="s">
        <v>359</v>
      </c>
      <c r="H377" s="40">
        <v>16200.0</v>
      </c>
      <c r="I377" s="40">
        <v>59000.0</v>
      </c>
      <c r="J377" s="40" t="s">
        <v>31</v>
      </c>
      <c r="K377" s="40">
        <v>4.0</v>
      </c>
      <c r="L377" s="40" t="s">
        <v>31</v>
      </c>
      <c r="M377" s="40">
        <v>73500.0</v>
      </c>
    </row>
    <row r="378">
      <c r="A378" s="40" t="s">
        <v>76</v>
      </c>
      <c r="B378" s="40" t="s">
        <v>1131</v>
      </c>
      <c r="C378" s="40" t="s">
        <v>1132</v>
      </c>
      <c r="D378" s="40">
        <v>62.0</v>
      </c>
      <c r="E378" s="40">
        <v>23358.0</v>
      </c>
      <c r="F378" s="40" t="s">
        <v>258</v>
      </c>
      <c r="G378" s="40" t="s">
        <v>222</v>
      </c>
      <c r="H378" s="40">
        <v>14600.0</v>
      </c>
      <c r="I378" s="40">
        <v>15500.0</v>
      </c>
      <c r="J378" s="40"/>
      <c r="K378" s="40">
        <v>2.0</v>
      </c>
      <c r="L378" s="40"/>
      <c r="M378" s="40">
        <v>2500.0</v>
      </c>
    </row>
    <row r="379">
      <c r="A379" s="40" t="s">
        <v>71</v>
      </c>
      <c r="B379" s="40" t="s">
        <v>1001</v>
      </c>
      <c r="C379" s="40" t="s">
        <v>1002</v>
      </c>
      <c r="D379" s="40">
        <v>39.0</v>
      </c>
      <c r="E379" s="62">
        <v>31968.0</v>
      </c>
      <c r="F379" s="40" t="s">
        <v>957</v>
      </c>
      <c r="G379" s="40"/>
      <c r="H379" s="40">
        <v>8000.0</v>
      </c>
      <c r="I379" s="63">
        <v>69000.0</v>
      </c>
      <c r="J379" s="40" t="s">
        <v>31</v>
      </c>
      <c r="K379" s="40">
        <v>15.0</v>
      </c>
      <c r="L379" s="40" t="s">
        <v>31</v>
      </c>
      <c r="M379" s="40">
        <v>6500.0</v>
      </c>
    </row>
    <row r="380">
      <c r="A380" s="40" t="s">
        <v>71</v>
      </c>
      <c r="B380" s="40" t="s">
        <v>1133</v>
      </c>
      <c r="C380" s="40">
        <v>29000.0</v>
      </c>
      <c r="D380" s="40">
        <v>50.0</v>
      </c>
      <c r="E380" s="40"/>
      <c r="F380" s="40" t="s">
        <v>193</v>
      </c>
      <c r="G380" s="40" t="s">
        <v>195</v>
      </c>
      <c r="H380" s="40" t="s">
        <v>1134</v>
      </c>
      <c r="I380" s="40" t="s">
        <v>464</v>
      </c>
      <c r="J380" s="40" t="s">
        <v>31</v>
      </c>
      <c r="K380" s="40">
        <v>9.0</v>
      </c>
      <c r="L380" s="40" t="s">
        <v>31</v>
      </c>
      <c r="M380" s="40">
        <v>17000.0</v>
      </c>
    </row>
    <row r="381">
      <c r="A381" s="40" t="s">
        <v>76</v>
      </c>
      <c r="B381" s="40" t="s">
        <v>989</v>
      </c>
      <c r="C381" s="40">
        <v>16600.0</v>
      </c>
      <c r="D381" s="40">
        <v>35.0</v>
      </c>
      <c r="E381" s="40">
        <v>33417.0</v>
      </c>
      <c r="F381" s="40" t="s">
        <v>258</v>
      </c>
      <c r="G381" s="40" t="s">
        <v>307</v>
      </c>
      <c r="H381" s="40" t="s">
        <v>990</v>
      </c>
      <c r="I381" s="40">
        <v>36000.0</v>
      </c>
      <c r="J381" s="40" t="s">
        <v>31</v>
      </c>
      <c r="K381" s="40">
        <v>3.0</v>
      </c>
      <c r="L381" s="40" t="s">
        <v>31</v>
      </c>
      <c r="M381" s="40">
        <v>71500.0</v>
      </c>
    </row>
    <row r="382">
      <c r="A382" s="40"/>
      <c r="B382" s="40" t="s">
        <v>1135</v>
      </c>
      <c r="C382" s="40">
        <v>14500.0</v>
      </c>
      <c r="D382" s="40">
        <v>64.0</v>
      </c>
      <c r="E382" s="62">
        <v>22845.0</v>
      </c>
      <c r="F382" s="40" t="s">
        <v>663</v>
      </c>
      <c r="G382" s="40"/>
      <c r="H382" s="40" t="s">
        <v>1136</v>
      </c>
      <c r="I382" s="40" t="s">
        <v>109</v>
      </c>
      <c r="J382" s="40" t="s">
        <v>31</v>
      </c>
      <c r="K382" s="40">
        <v>9.0</v>
      </c>
      <c r="L382" s="40" t="s">
        <v>31</v>
      </c>
      <c r="M382" s="40">
        <v>14500.0</v>
      </c>
    </row>
    <row r="383">
      <c r="A383" s="40" t="s">
        <v>71</v>
      </c>
      <c r="B383" s="40" t="s">
        <v>1137</v>
      </c>
      <c r="C383" s="40" t="s">
        <v>1138</v>
      </c>
      <c r="D383" s="40">
        <v>36.0</v>
      </c>
      <c r="E383" s="40">
        <v>32908.0</v>
      </c>
      <c r="F383" s="40" t="s">
        <v>115</v>
      </c>
      <c r="G383" s="40" t="s">
        <v>117</v>
      </c>
      <c r="H383" s="40" t="s">
        <v>1139</v>
      </c>
      <c r="I383" s="40">
        <v>23500.0</v>
      </c>
      <c r="J383" s="40" t="s">
        <v>31</v>
      </c>
      <c r="K383" s="40">
        <v>10.0</v>
      </c>
      <c r="L383" s="40" t="s">
        <v>31</v>
      </c>
      <c r="M383" s="40">
        <v>21500.0</v>
      </c>
    </row>
    <row r="384">
      <c r="A384" s="40" t="s">
        <v>71</v>
      </c>
      <c r="B384" s="40" t="s">
        <v>1140</v>
      </c>
      <c r="C384" s="40">
        <v>1800.0</v>
      </c>
      <c r="D384" s="40">
        <v>26.0</v>
      </c>
      <c r="E384" s="40">
        <v>36757.0</v>
      </c>
      <c r="F384" s="40" t="s">
        <v>306</v>
      </c>
      <c r="G384" s="40" t="s">
        <v>302</v>
      </c>
      <c r="H384" s="40">
        <v>18400.0</v>
      </c>
      <c r="I384" s="40">
        <v>0.0</v>
      </c>
      <c r="J384" s="40" t="s">
        <v>32</v>
      </c>
      <c r="K384" s="40">
        <v>31.0</v>
      </c>
      <c r="L384" s="40" t="s">
        <v>32</v>
      </c>
      <c r="M384" s="40">
        <v>89500.0</v>
      </c>
    </row>
    <row r="385">
      <c r="A385" s="40" t="s">
        <v>76</v>
      </c>
      <c r="B385" s="40" t="s">
        <v>189</v>
      </c>
      <c r="C385" s="40" t="s">
        <v>190</v>
      </c>
      <c r="D385" s="40">
        <v>47.0</v>
      </c>
      <c r="E385" s="40">
        <v>29064.0</v>
      </c>
      <c r="F385" s="40" t="s">
        <v>193</v>
      </c>
      <c r="G385" s="40" t="s">
        <v>195</v>
      </c>
      <c r="H385" s="40">
        <v>13300.0</v>
      </c>
      <c r="I385" s="40">
        <v>1000.0</v>
      </c>
      <c r="J385" s="40" t="s">
        <v>32</v>
      </c>
      <c r="K385" s="40">
        <v>24.0</v>
      </c>
      <c r="L385" s="40" t="s">
        <v>32</v>
      </c>
      <c r="M385" s="40">
        <v>39500.0</v>
      </c>
    </row>
    <row r="386">
      <c r="A386" s="40" t="s">
        <v>71</v>
      </c>
      <c r="B386" s="40" t="s">
        <v>1141</v>
      </c>
      <c r="C386" s="40" t="s">
        <v>1142</v>
      </c>
      <c r="D386" s="40">
        <v>49.0</v>
      </c>
      <c r="E386" s="62">
        <v>28136.0</v>
      </c>
      <c r="F386" s="40" t="s">
        <v>258</v>
      </c>
      <c r="G386" s="40" t="s">
        <v>307</v>
      </c>
      <c r="H386" s="40">
        <v>20300.0</v>
      </c>
      <c r="I386" s="63">
        <v>12000.0</v>
      </c>
      <c r="J386" s="40" t="s">
        <v>32</v>
      </c>
      <c r="K386" s="40">
        <v>27.0</v>
      </c>
      <c r="L386" s="40" t="s">
        <v>32</v>
      </c>
      <c r="M386" s="40">
        <v>67500.0</v>
      </c>
    </row>
    <row r="387">
      <c r="A387" s="40" t="s">
        <v>131</v>
      </c>
      <c r="B387" s="40" t="s">
        <v>1143</v>
      </c>
      <c r="C387" s="40" t="s">
        <v>1144</v>
      </c>
      <c r="D387" s="40">
        <v>73.0</v>
      </c>
      <c r="E387" s="62">
        <v>19364.0</v>
      </c>
      <c r="F387" s="40" t="s">
        <v>306</v>
      </c>
      <c r="G387" s="40" t="s">
        <v>222</v>
      </c>
      <c r="H387" s="63">
        <v>16500.0</v>
      </c>
      <c r="I387" s="40" t="s">
        <v>554</v>
      </c>
      <c r="J387" s="40" t="s">
        <v>31</v>
      </c>
      <c r="K387" s="40">
        <v>11.0</v>
      </c>
      <c r="L387" s="40" t="s">
        <v>31</v>
      </c>
      <c r="M387" s="40">
        <v>33500.0</v>
      </c>
    </row>
    <row r="388">
      <c r="A388" s="40" t="s">
        <v>71</v>
      </c>
      <c r="B388" s="40" t="s">
        <v>1145</v>
      </c>
      <c r="C388" s="40" t="s">
        <v>1146</v>
      </c>
      <c r="D388" s="40">
        <v>26.0</v>
      </c>
      <c r="E388" s="62">
        <v>36422.0</v>
      </c>
      <c r="F388" s="40" t="s">
        <v>82</v>
      </c>
      <c r="G388" s="40" t="s">
        <v>463</v>
      </c>
      <c r="H388" s="40" t="s">
        <v>448</v>
      </c>
      <c r="I388" s="40">
        <v>72000.0</v>
      </c>
      <c r="J388" s="40"/>
      <c r="K388" s="40">
        <v>17.0</v>
      </c>
      <c r="L388" s="40"/>
      <c r="M388" s="40">
        <v>11000.0</v>
      </c>
    </row>
    <row r="389">
      <c r="A389" s="40" t="s">
        <v>71</v>
      </c>
      <c r="B389" s="40" t="s">
        <v>1001</v>
      </c>
      <c r="C389" s="40" t="s">
        <v>1147</v>
      </c>
      <c r="D389" s="40">
        <v>33.0</v>
      </c>
      <c r="E389" s="40">
        <v>33892.0</v>
      </c>
      <c r="F389" s="40" t="s">
        <v>136</v>
      </c>
      <c r="G389" s="40"/>
      <c r="H389" s="40">
        <v>29200.0</v>
      </c>
      <c r="I389" s="40">
        <v>3000.0</v>
      </c>
      <c r="J389" s="40" t="s">
        <v>32</v>
      </c>
      <c r="K389" s="40">
        <v>40.0</v>
      </c>
      <c r="L389" s="40" t="s">
        <v>32</v>
      </c>
      <c r="M389" s="40">
        <v>26000.0</v>
      </c>
    </row>
    <row r="390">
      <c r="A390" s="40" t="s">
        <v>71</v>
      </c>
      <c r="B390" s="40" t="s">
        <v>1148</v>
      </c>
      <c r="C390" s="40" t="s">
        <v>1149</v>
      </c>
      <c r="D390" s="40" t="s">
        <v>1150</v>
      </c>
      <c r="E390" s="40">
        <v>21671.0</v>
      </c>
      <c r="F390" s="40" t="s">
        <v>78</v>
      </c>
      <c r="G390" s="40" t="s">
        <v>274</v>
      </c>
      <c r="H390" s="40">
        <v>6500.0</v>
      </c>
      <c r="I390" s="40">
        <v>42500.0</v>
      </c>
      <c r="J390" s="40" t="s">
        <v>32</v>
      </c>
      <c r="K390" s="40">
        <v>3.0</v>
      </c>
      <c r="L390" s="40" t="s">
        <v>32</v>
      </c>
      <c r="M390" s="40">
        <v>8000.0</v>
      </c>
    </row>
    <row r="391">
      <c r="A391" s="40" t="s">
        <v>71</v>
      </c>
      <c r="B391" s="40" t="s">
        <v>1151</v>
      </c>
      <c r="C391" s="40">
        <v>18300.0</v>
      </c>
      <c r="D391" s="40">
        <v>72.0</v>
      </c>
      <c r="E391" s="40">
        <v>19801.0</v>
      </c>
      <c r="F391" s="40" t="s">
        <v>316</v>
      </c>
      <c r="G391" s="40" t="s">
        <v>83</v>
      </c>
      <c r="H391" s="40">
        <v>10200.0</v>
      </c>
      <c r="I391" s="40">
        <v>0.0</v>
      </c>
      <c r="J391" s="40" t="s">
        <v>31</v>
      </c>
      <c r="K391" s="40">
        <v>27.0</v>
      </c>
      <c r="L391" s="40" t="s">
        <v>31</v>
      </c>
      <c r="M391" s="40">
        <v>99500.0</v>
      </c>
    </row>
    <row r="392">
      <c r="A392" s="40" t="s">
        <v>71</v>
      </c>
      <c r="B392" s="40" t="s">
        <v>1152</v>
      </c>
      <c r="C392" s="40" t="s">
        <v>1153</v>
      </c>
      <c r="D392" s="40">
        <v>35.0</v>
      </c>
      <c r="E392" s="62">
        <v>33370.0</v>
      </c>
      <c r="F392" s="40" t="s">
        <v>82</v>
      </c>
      <c r="G392" s="40" t="s">
        <v>107</v>
      </c>
      <c r="H392" s="40" t="s">
        <v>1154</v>
      </c>
      <c r="I392" s="40">
        <v>69500.0</v>
      </c>
      <c r="J392" s="40" t="s">
        <v>31</v>
      </c>
      <c r="K392" s="40">
        <v>13.0</v>
      </c>
      <c r="L392" s="40" t="s">
        <v>31</v>
      </c>
      <c r="M392" s="40">
        <v>43500.0</v>
      </c>
    </row>
    <row r="393">
      <c r="A393" s="40" t="s">
        <v>71</v>
      </c>
      <c r="B393" s="40" t="s">
        <v>675</v>
      </c>
      <c r="C393" s="40" t="s">
        <v>1155</v>
      </c>
      <c r="D393" s="40">
        <v>33.0</v>
      </c>
      <c r="E393" s="40">
        <v>34084.0</v>
      </c>
      <c r="F393" s="40" t="s">
        <v>234</v>
      </c>
      <c r="G393" s="40" t="s">
        <v>205</v>
      </c>
      <c r="H393" s="40" t="s">
        <v>1156</v>
      </c>
      <c r="I393" s="40">
        <v>38000.0</v>
      </c>
      <c r="J393" s="40" t="s">
        <v>32</v>
      </c>
      <c r="K393" s="40">
        <v>41.0</v>
      </c>
      <c r="L393" s="40" t="s">
        <v>32</v>
      </c>
      <c r="M393" s="40">
        <v>83500.0</v>
      </c>
    </row>
    <row r="394">
      <c r="A394" s="40" t="s">
        <v>71</v>
      </c>
      <c r="B394" s="40" t="s">
        <v>1157</v>
      </c>
      <c r="C394" s="40" t="s">
        <v>1158</v>
      </c>
      <c r="D394" s="40">
        <v>58.0</v>
      </c>
      <c r="E394" s="62">
        <v>24777.0</v>
      </c>
      <c r="F394" s="40" t="s">
        <v>74</v>
      </c>
      <c r="G394" s="40" t="s">
        <v>75</v>
      </c>
      <c r="H394" s="40" t="s">
        <v>1159</v>
      </c>
      <c r="I394" s="40">
        <v>0.0</v>
      </c>
      <c r="J394" s="40" t="s">
        <v>31</v>
      </c>
      <c r="K394" s="40">
        <v>42.0</v>
      </c>
      <c r="L394" s="40" t="s">
        <v>31</v>
      </c>
      <c r="M394" s="40">
        <v>33000.0</v>
      </c>
    </row>
    <row r="395">
      <c r="A395" s="40" t="s">
        <v>76</v>
      </c>
      <c r="B395" s="40" t="s">
        <v>709</v>
      </c>
      <c r="C395" s="40" t="s">
        <v>710</v>
      </c>
      <c r="D395" s="40">
        <v>65.0</v>
      </c>
      <c r="E395" s="40">
        <v>22205.0</v>
      </c>
      <c r="F395" s="40" t="s">
        <v>203</v>
      </c>
      <c r="G395" s="40" t="s">
        <v>205</v>
      </c>
      <c r="H395" s="40">
        <v>19800.0</v>
      </c>
      <c r="I395" s="63">
        <v>78500.0</v>
      </c>
      <c r="J395" s="40" t="s">
        <v>31</v>
      </c>
      <c r="K395" s="40">
        <v>34.0</v>
      </c>
      <c r="L395" s="40" t="s">
        <v>31</v>
      </c>
      <c r="M395" s="40">
        <v>84000.0</v>
      </c>
    </row>
    <row r="396">
      <c r="A396" s="40" t="s">
        <v>76</v>
      </c>
      <c r="B396" s="40" t="s">
        <v>1080</v>
      </c>
      <c r="C396" s="40">
        <v>8400.0</v>
      </c>
      <c r="D396" s="40">
        <v>38.0</v>
      </c>
      <c r="E396" s="62">
        <v>32351.0</v>
      </c>
      <c r="F396" s="40" t="s">
        <v>82</v>
      </c>
      <c r="G396" s="40" t="s">
        <v>463</v>
      </c>
      <c r="H396" s="40">
        <v>23600.0</v>
      </c>
      <c r="I396" s="40">
        <v>0.0</v>
      </c>
      <c r="J396" s="40" t="s">
        <v>344</v>
      </c>
      <c r="K396" s="40"/>
      <c r="L396" s="40" t="s">
        <v>344</v>
      </c>
      <c r="M396" s="40">
        <v>28500.0</v>
      </c>
    </row>
    <row r="397">
      <c r="A397" s="40" t="s">
        <v>71</v>
      </c>
      <c r="B397" s="40" t="s">
        <v>810</v>
      </c>
      <c r="C397" s="40" t="s">
        <v>1160</v>
      </c>
      <c r="D397" s="40">
        <v>60.0</v>
      </c>
      <c r="E397" s="40">
        <v>24100.0</v>
      </c>
      <c r="F397" s="40" t="s">
        <v>193</v>
      </c>
      <c r="G397" s="40" t="s">
        <v>230</v>
      </c>
      <c r="H397" s="63">
        <v>9700.0</v>
      </c>
      <c r="I397" s="63">
        <v>61000.0</v>
      </c>
      <c r="J397" s="40" t="s">
        <v>32</v>
      </c>
      <c r="K397" s="40">
        <v>9.0</v>
      </c>
      <c r="L397" s="40" t="s">
        <v>32</v>
      </c>
      <c r="M397" s="40">
        <v>88000.0</v>
      </c>
    </row>
    <row r="398">
      <c r="A398" s="40" t="s">
        <v>71</v>
      </c>
      <c r="B398" s="40" t="s">
        <v>1161</v>
      </c>
      <c r="C398" s="40">
        <v>5300.0</v>
      </c>
      <c r="D398" s="40">
        <v>56.0</v>
      </c>
      <c r="E398" s="40">
        <v>25578.0</v>
      </c>
      <c r="F398" s="40" t="s">
        <v>100</v>
      </c>
      <c r="G398" s="40" t="s">
        <v>210</v>
      </c>
      <c r="H398" s="63">
        <v>14900.0</v>
      </c>
      <c r="I398" s="63">
        <v>0.0</v>
      </c>
      <c r="J398" s="40" t="s">
        <v>31</v>
      </c>
      <c r="K398" s="40">
        <v>13.0</v>
      </c>
      <c r="L398" s="40" t="s">
        <v>31</v>
      </c>
      <c r="M398" s="40">
        <v>71000.0</v>
      </c>
    </row>
    <row r="399">
      <c r="A399" s="40" t="s">
        <v>71</v>
      </c>
      <c r="B399" s="40" t="s">
        <v>1162</v>
      </c>
      <c r="C399" s="40" t="s">
        <v>1163</v>
      </c>
      <c r="D399" s="40">
        <v>35.0</v>
      </c>
      <c r="E399" s="40">
        <v>33306.0</v>
      </c>
      <c r="F399" s="40" t="s">
        <v>78</v>
      </c>
      <c r="G399" s="40" t="s">
        <v>79</v>
      </c>
      <c r="H399" s="40">
        <v>9700.0</v>
      </c>
      <c r="I399" s="40"/>
      <c r="J399" s="40" t="s">
        <v>31</v>
      </c>
      <c r="K399" s="40">
        <v>20.0</v>
      </c>
      <c r="L399" s="40" t="s">
        <v>31</v>
      </c>
      <c r="M399" s="40">
        <v>31000.0</v>
      </c>
    </row>
    <row r="400">
      <c r="A400" s="40" t="s">
        <v>71</v>
      </c>
      <c r="B400" s="40" t="s">
        <v>1164</v>
      </c>
      <c r="C400" s="40">
        <v>7200.0</v>
      </c>
      <c r="D400" s="40">
        <v>72.0</v>
      </c>
      <c r="E400" s="62">
        <v>19852.0</v>
      </c>
      <c r="F400" s="40" t="s">
        <v>428</v>
      </c>
      <c r="G400" s="40" t="s">
        <v>102</v>
      </c>
      <c r="H400" s="63">
        <v>27100.0</v>
      </c>
      <c r="I400" s="63">
        <v>71000.0</v>
      </c>
      <c r="J400" s="40" t="s">
        <v>31</v>
      </c>
      <c r="K400" s="40">
        <v>32.0</v>
      </c>
      <c r="L400" s="40" t="s">
        <v>31</v>
      </c>
      <c r="M400" s="40">
        <v>29500.0</v>
      </c>
    </row>
    <row r="401">
      <c r="A401" s="40" t="s">
        <v>71</v>
      </c>
      <c r="B401" s="40" t="s">
        <v>1165</v>
      </c>
      <c r="C401" s="40" t="s">
        <v>1167</v>
      </c>
      <c r="D401" s="40">
        <v>52.0</v>
      </c>
      <c r="E401" s="62">
        <v>27214.0</v>
      </c>
      <c r="F401" s="40" t="s">
        <v>484</v>
      </c>
      <c r="G401" s="40"/>
      <c r="H401" s="40">
        <v>17500.0</v>
      </c>
      <c r="I401" s="40">
        <v>6500.0</v>
      </c>
      <c r="J401" s="40">
        <v>0.0</v>
      </c>
      <c r="K401" s="40"/>
      <c r="L401" s="40">
        <v>0.0</v>
      </c>
      <c r="M401" s="40">
        <v>42500.0</v>
      </c>
    </row>
    <row r="402">
      <c r="A402" s="40" t="s">
        <v>71</v>
      </c>
      <c r="B402" s="40" t="s">
        <v>1114</v>
      </c>
      <c r="C402" s="40">
        <v>3300.0</v>
      </c>
      <c r="D402" s="40">
        <v>31.0</v>
      </c>
      <c r="E402" s="62">
        <v>34914.0</v>
      </c>
      <c r="F402" s="40" t="s">
        <v>100</v>
      </c>
      <c r="G402" s="40" t="s">
        <v>210</v>
      </c>
      <c r="H402" s="40" t="s">
        <v>1095</v>
      </c>
      <c r="I402" s="63">
        <v>17500.0</v>
      </c>
      <c r="J402" s="63" t="s">
        <v>31</v>
      </c>
      <c r="K402" s="40">
        <v>35.0</v>
      </c>
      <c r="L402" s="40" t="s">
        <v>31</v>
      </c>
      <c r="M402" s="40">
        <v>58000.0</v>
      </c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40">
        <v>58000.0</v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6.63"/>
    <col customWidth="1" min="3" max="3" width="15.38"/>
    <col customWidth="1" min="4" max="4" width="16.0"/>
    <col customWidth="1" min="5" max="5" width="18.0"/>
    <col customWidth="1" min="6" max="6" width="12.63"/>
  </cols>
  <sheetData>
    <row r="1">
      <c r="A1" s="52"/>
      <c r="B1" s="53" t="s">
        <v>386</v>
      </c>
      <c r="C1" s="54"/>
      <c r="D1" s="54"/>
      <c r="E1" s="55"/>
      <c r="F1" s="56"/>
    </row>
    <row r="2">
      <c r="A2" s="57"/>
      <c r="B2" s="58" t="s">
        <v>398</v>
      </c>
      <c r="C2" s="58" t="s">
        <v>399</v>
      </c>
      <c r="D2" s="58" t="s">
        <v>402</v>
      </c>
      <c r="E2" s="58" t="s">
        <v>403</v>
      </c>
    </row>
    <row r="3">
      <c r="A3" s="59" t="s">
        <v>404</v>
      </c>
      <c r="B3" s="45">
        <f>COUNTIFS(Panilha_tratada!$J:$J, "Sim", Panilha_tratada!$H:$H, "&gt;=20000")</f>
        <v>29</v>
      </c>
      <c r="C3" s="45">
        <f>COUNTIFS(Panilha_tratada!$J:$J, "Sim", Panilha_tratada!$H:$H, "&gt;20000",Panilha_tratada!$P:$P, 0)</f>
        <v>12</v>
      </c>
      <c r="D3" s="60">
        <f t="shared" ref="D3:D6" si="1">C3 / B3</f>
        <v>0.4137931034</v>
      </c>
      <c r="E3" s="60">
        <f t="shared" ref="E3:E6" si="2">1 - D3</f>
        <v>0.5862068966</v>
      </c>
    </row>
    <row r="4">
      <c r="A4" s="59" t="s">
        <v>449</v>
      </c>
      <c r="B4" s="45">
        <f>COUNTIFS(Panilha_tratada!$J:$J, "Sim", Panilha_tratada!$H:$H, "&gt;=10000", Panilha_tratada!$H:$H, "&lt;20000")</f>
        <v>27</v>
      </c>
      <c r="C4" s="45">
        <f>COUNTIFS(Panilha_tratada!$J:$J, "Sim", Panilha_tratada!$H:$H, "&gt;=10000", Panilha_tratada!$H:$H, "&lt;20000",Panilha_tratada!$P:$P, 0)</f>
        <v>11</v>
      </c>
      <c r="D4" s="60">
        <f t="shared" si="1"/>
        <v>0.4074074074</v>
      </c>
      <c r="E4" s="60">
        <f t="shared" si="2"/>
        <v>0.5925925926</v>
      </c>
    </row>
    <row r="5">
      <c r="A5" s="59" t="s">
        <v>475</v>
      </c>
      <c r="B5" s="45">
        <f>COUNTIFS(Panilha_tratada!$J:$J, "Sim", Panilha_tratada!$H:$H, "&lt;10000")</f>
        <v>29</v>
      </c>
      <c r="C5" s="45">
        <f>COUNTIFS(Panilha_tratada!$J:$J, "Sim", Panilha_tratada!$H:$H, "&lt;10000",Panilha_tratada!$P:$P, 0)</f>
        <v>13</v>
      </c>
      <c r="D5" s="60">
        <f t="shared" si="1"/>
        <v>0.4482758621</v>
      </c>
      <c r="E5" s="60">
        <f t="shared" si="2"/>
        <v>0.5517241379</v>
      </c>
    </row>
    <row r="6">
      <c r="A6" s="59" t="s">
        <v>500</v>
      </c>
      <c r="B6" s="45">
        <f>COUNTIFS(Panilha_tratada!$J:$J, "Sim")</f>
        <v>85</v>
      </c>
      <c r="C6" s="45">
        <f>COUNTIFS(Panilha_tratada!$J:$J, "Sim", Panilha_tratada!$P:$P, 0)</f>
        <v>36</v>
      </c>
      <c r="D6" s="60">
        <f t="shared" si="1"/>
        <v>0.4235294118</v>
      </c>
      <c r="E6" s="60">
        <f t="shared" si="2"/>
        <v>0.5764705882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B1:E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55.88"/>
    <col customWidth="1" min="3" max="3" width="35.5"/>
    <col customWidth="1" min="4" max="4" width="20.13"/>
    <col customWidth="1" min="5" max="5" width="68.88"/>
    <col customWidth="1" min="6" max="6" width="68.13"/>
    <col customWidth="1" min="7" max="7" width="9.0"/>
  </cols>
  <sheetData>
    <row r="1">
      <c r="A1" s="41" t="s">
        <v>103</v>
      </c>
      <c r="B1" s="42" t="s">
        <v>111</v>
      </c>
      <c r="C1" s="42" t="s">
        <v>116</v>
      </c>
      <c r="D1" s="42" t="s">
        <v>119</v>
      </c>
      <c r="E1" s="42" t="s">
        <v>120</v>
      </c>
      <c r="F1" s="42" t="s">
        <v>121</v>
      </c>
      <c r="G1" s="43" t="s">
        <v>122</v>
      </c>
    </row>
    <row r="2">
      <c r="A2" s="44" t="s">
        <v>55</v>
      </c>
      <c r="B2" s="45" t="s">
        <v>127</v>
      </c>
      <c r="C2" s="45" t="s">
        <v>129</v>
      </c>
      <c r="D2" s="45" t="s">
        <v>130</v>
      </c>
      <c r="E2" s="45" t="s">
        <v>132</v>
      </c>
      <c r="F2" s="45" t="s">
        <v>133</v>
      </c>
      <c r="G2" s="46" t="s">
        <v>134</v>
      </c>
    </row>
    <row r="3">
      <c r="A3" s="44" t="s">
        <v>56</v>
      </c>
      <c r="B3" s="45" t="s">
        <v>137</v>
      </c>
      <c r="C3" s="45" t="s">
        <v>138</v>
      </c>
      <c r="D3" s="45" t="s">
        <v>130</v>
      </c>
      <c r="E3" s="45" t="s">
        <v>139</v>
      </c>
      <c r="F3" s="45" t="s">
        <v>140</v>
      </c>
      <c r="G3" s="46" t="s">
        <v>134</v>
      </c>
    </row>
    <row r="4">
      <c r="A4" s="44" t="s">
        <v>57</v>
      </c>
      <c r="B4" s="45" t="s">
        <v>142</v>
      </c>
      <c r="C4" s="45" t="s">
        <v>144</v>
      </c>
      <c r="D4" s="45" t="s">
        <v>145</v>
      </c>
      <c r="E4" s="45" t="s">
        <v>146</v>
      </c>
      <c r="F4" s="45" t="s">
        <v>147</v>
      </c>
      <c r="G4" s="46" t="s">
        <v>134</v>
      </c>
    </row>
    <row r="5">
      <c r="A5" s="44" t="s">
        <v>58</v>
      </c>
      <c r="B5" s="45" t="s">
        <v>151</v>
      </c>
      <c r="C5" s="45" t="s">
        <v>152</v>
      </c>
      <c r="D5" s="45" t="s">
        <v>153</v>
      </c>
      <c r="E5" s="45" t="s">
        <v>154</v>
      </c>
      <c r="F5" s="45" t="s">
        <v>156</v>
      </c>
      <c r="G5" s="46" t="s">
        <v>134</v>
      </c>
    </row>
    <row r="6">
      <c r="A6" s="44" t="s">
        <v>59</v>
      </c>
      <c r="B6" s="45" t="s">
        <v>158</v>
      </c>
      <c r="C6" s="45" t="s">
        <v>159</v>
      </c>
      <c r="D6" s="45" t="s">
        <v>160</v>
      </c>
      <c r="E6" s="45" t="s">
        <v>161</v>
      </c>
      <c r="F6" s="45" t="s">
        <v>162</v>
      </c>
      <c r="G6" s="46" t="s">
        <v>134</v>
      </c>
    </row>
    <row r="7">
      <c r="A7" s="44" t="s">
        <v>60</v>
      </c>
      <c r="B7" s="45" t="s">
        <v>164</v>
      </c>
      <c r="C7" s="45" t="s">
        <v>165</v>
      </c>
      <c r="D7" s="45" t="s">
        <v>153</v>
      </c>
      <c r="E7" s="45" t="s">
        <v>167</v>
      </c>
      <c r="F7" s="45" t="s">
        <v>169</v>
      </c>
      <c r="G7" s="46" t="s">
        <v>170</v>
      </c>
    </row>
    <row r="8">
      <c r="A8" s="44" t="s">
        <v>61</v>
      </c>
      <c r="B8" s="45" t="s">
        <v>171</v>
      </c>
      <c r="C8" s="45" t="s">
        <v>172</v>
      </c>
      <c r="D8" s="45" t="s">
        <v>173</v>
      </c>
      <c r="E8" s="45" t="s">
        <v>174</v>
      </c>
      <c r="F8" s="45" t="s">
        <v>176</v>
      </c>
      <c r="G8" s="46" t="s">
        <v>134</v>
      </c>
    </row>
    <row r="9">
      <c r="A9" s="44" t="s">
        <v>62</v>
      </c>
      <c r="B9" s="45" t="s">
        <v>179</v>
      </c>
      <c r="C9" s="45" t="s">
        <v>180</v>
      </c>
      <c r="D9" s="45" t="s">
        <v>181</v>
      </c>
      <c r="E9" s="45" t="s">
        <v>182</v>
      </c>
      <c r="F9" s="45" t="s">
        <v>183</v>
      </c>
      <c r="G9" s="46" t="s">
        <v>134</v>
      </c>
    </row>
    <row r="10">
      <c r="A10" s="44" t="s">
        <v>63</v>
      </c>
      <c r="B10" s="45" t="s">
        <v>184</v>
      </c>
      <c r="C10" s="45" t="s">
        <v>185</v>
      </c>
      <c r="D10" s="45" t="s">
        <v>186</v>
      </c>
      <c r="E10" s="45" t="s">
        <v>187</v>
      </c>
      <c r="F10" s="45" t="s">
        <v>188</v>
      </c>
      <c r="G10" s="46" t="s">
        <v>170</v>
      </c>
    </row>
    <row r="11">
      <c r="A11" s="44" t="s">
        <v>64</v>
      </c>
      <c r="B11" s="45" t="s">
        <v>191</v>
      </c>
      <c r="C11" s="45" t="s">
        <v>196</v>
      </c>
      <c r="D11" s="45" t="s">
        <v>197</v>
      </c>
      <c r="E11" s="45" t="s">
        <v>198</v>
      </c>
      <c r="F11" s="45" t="s">
        <v>199</v>
      </c>
      <c r="G11" s="46" t="s">
        <v>134</v>
      </c>
    </row>
    <row r="12">
      <c r="A12" s="44" t="s">
        <v>65</v>
      </c>
      <c r="B12" s="45" t="s">
        <v>202</v>
      </c>
      <c r="C12" s="45" t="s">
        <v>204</v>
      </c>
      <c r="D12" s="45" t="s">
        <v>181</v>
      </c>
      <c r="E12" s="45" t="s">
        <v>206</v>
      </c>
      <c r="F12" s="45" t="s">
        <v>207</v>
      </c>
      <c r="G12" s="46" t="s">
        <v>134</v>
      </c>
    </row>
    <row r="13">
      <c r="A13" s="44" t="s">
        <v>66</v>
      </c>
      <c r="B13" s="45" t="s">
        <v>208</v>
      </c>
      <c r="C13" s="45" t="s">
        <v>209</v>
      </c>
      <c r="D13" s="45" t="s">
        <v>211</v>
      </c>
      <c r="E13" s="45" t="s">
        <v>214</v>
      </c>
      <c r="F13" s="45" t="s">
        <v>216</v>
      </c>
      <c r="G13" s="46" t="s">
        <v>217</v>
      </c>
    </row>
    <row r="14">
      <c r="A14" s="48" t="s">
        <v>69</v>
      </c>
      <c r="B14" s="49" t="s">
        <v>220</v>
      </c>
      <c r="C14" s="49" t="s">
        <v>223</v>
      </c>
      <c r="D14" s="49" t="s">
        <v>224</v>
      </c>
      <c r="E14" s="49" t="s">
        <v>225</v>
      </c>
      <c r="F14" s="49" t="s">
        <v>226</v>
      </c>
      <c r="G14" s="50" t="s">
        <v>134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6" width="12.63"/>
  </cols>
  <sheetData>
    <row r="1">
      <c r="A1" s="61" t="s">
        <v>467</v>
      </c>
      <c r="B1" s="56"/>
      <c r="C1" s="56"/>
      <c r="D1" s="56"/>
    </row>
    <row r="2">
      <c r="A2" s="56" t="s">
        <v>473</v>
      </c>
    </row>
    <row r="3">
      <c r="A3" s="56" t="s">
        <v>476</v>
      </c>
    </row>
    <row r="4">
      <c r="A4" s="56" t="s">
        <v>478</v>
      </c>
    </row>
    <row r="5">
      <c r="A5" s="56" t="s">
        <v>480</v>
      </c>
    </row>
    <row r="6">
      <c r="A6" s="56" t="s">
        <v>483</v>
      </c>
    </row>
    <row r="7">
      <c r="A7" s="56" t="s">
        <v>485</v>
      </c>
    </row>
    <row r="8">
      <c r="A8" s="56" t="s">
        <v>486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